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  <sheet xmlns:r="http://schemas.openxmlformats.org/officeDocument/2006/relationships" name="업적" sheetId="11" state="visible" r:id="rId11"/>
    <sheet xmlns:r="http://schemas.openxmlformats.org/officeDocument/2006/relationships" name="냥코인 지급처" sheetId="12" state="visible" r:id="rId12"/>
    <sheet xmlns:r="http://schemas.openxmlformats.org/officeDocument/2006/relationships" name="코지 점수" sheetId="13" state="visible" r:id="rId13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  <xf numFmtId="0" fontId="1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s="10" t="inlineStr">
        <is>
          <t>보상 지급 방식</t>
        </is>
      </c>
      <c r="B18" s="10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0.372</v>
      </c>
      <c r="C22" s="19" t="n">
        <v>0.193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0.3</v>
      </c>
      <c r="C23" s="19" t="n">
        <v>0.25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0.09</v>
      </c>
      <c r="C25" s="19" t="n">
        <v>0.15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0.025</v>
      </c>
      <c r="C26" s="19" t="n">
        <v>0.08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0.03</v>
      </c>
      <c r="C27" s="19" t="n">
        <v>0.07000000000000001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0.008</v>
      </c>
      <c r="C28" s="19" t="n">
        <v>0.025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0.005</v>
      </c>
      <c r="C29" s="19" t="n">
        <v>0.012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 확정 1.9 (옵션 B, economy.json draws.rates_proposal). 바꿀 때는 이 표와 서버 설정·확률 안내를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1–3★</t>
        </is>
      </c>
      <c r="B4" s="10" t="n">
        <v>54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0" t="inlineStr">
        <is>
          <t>새 카드 4★</t>
        </is>
      </c>
      <c r="B5" s="10" t="n">
        <v>18</v>
      </c>
      <c r="C5" s="10" t="n">
        <v>5</v>
      </c>
      <c r="D5" s="10">
        <f>B5*C5</f>
        <v/>
      </c>
      <c r="E5" s="10" t="n">
        <v>20</v>
      </c>
      <c r="F5" s="10">
        <f>B5*E5</f>
        <v/>
      </c>
    </row>
    <row r="6" ht="15" customHeight="1" s="11">
      <c r="A6" s="10" t="inlineStr">
        <is>
          <t>새 카드 5★</t>
        </is>
      </c>
      <c r="B6" s="10" t="n">
        <v>18</v>
      </c>
      <c r="C6" s="10" t="n">
        <v>10</v>
      </c>
      <c r="D6" s="10">
        <f>B6*C6</f>
        <v/>
      </c>
      <c r="E6" s="10" t="n">
        <v>20</v>
      </c>
      <c r="F6" s="10">
        <f>B6*E6</f>
        <v/>
      </c>
    </row>
    <row r="7" ht="15" customHeight="1" s="11">
      <c r="A7" s="10" t="inlineStr">
        <is>
          <t>새 카드 밈(스페셜)</t>
        </is>
      </c>
      <c r="B7" s="10" t="n">
        <v>9</v>
      </c>
      <c r="C7" s="10" t="n">
        <v>5</v>
      </c>
      <c r="D7" s="10">
        <f>B7*C7</f>
        <v/>
      </c>
      <c r="E7" s="10" t="n">
        <v>20</v>
      </c>
      <c r="F7" s="10">
        <f>B7*E7</f>
        <v/>
      </c>
    </row>
    <row r="8" ht="15" customHeight="1" s="11">
      <c r="A8" s="10" t="inlineStr">
        <is>
          <t>새 카드 캐릭터</t>
        </is>
      </c>
      <c r="B8" s="10" t="n">
        <v>4</v>
      </c>
      <c r="C8" s="10" t="n">
        <v>7</v>
      </c>
      <c r="D8" s="10">
        <f>B8*C8</f>
        <v/>
      </c>
      <c r="E8" s="10" t="n">
        <v>20</v>
      </c>
      <c r="F8" s="10">
        <f>B8*E8</f>
        <v/>
      </c>
    </row>
    <row r="9" ht="15" customHeight="1" s="11">
      <c r="A9" s="10" t="inlineStr">
        <is>
          <t>새 카드 레전드</t>
        </is>
      </c>
      <c r="B9" s="10" t="n">
        <v>4</v>
      </c>
      <c r="C9" s="10" t="n">
        <v>50</v>
      </c>
      <c r="D9" s="10">
        <f>B9*C9</f>
        <v/>
      </c>
      <c r="E9" s="10" t="n">
        <v>20</v>
      </c>
      <c r="F9" s="10">
        <f>B9*E9</f>
        <v/>
      </c>
    </row>
    <row r="10" ht="15" customHeight="1" s="11">
      <c r="A10" s="14" t="inlineStr">
        <is>
          <t>품종 1–5★ 완성</t>
        </is>
      </c>
      <c r="B10" s="10" t="n">
        <v>18</v>
      </c>
      <c r="C10" s="17" t="n">
        <v>10</v>
      </c>
      <c r="D10" s="10">
        <f>B5*C5</f>
        <v/>
      </c>
      <c r="E10" s="17" t="n">
        <v>200</v>
      </c>
      <c r="F10" s="10">
        <f>B5*E5</f>
        <v/>
      </c>
    </row>
    <row r="11" ht="17.15" customHeight="1" s="11">
      <c r="A11" s="14" t="inlineStr">
        <is>
          <t>스페셜 세트 완성</t>
        </is>
      </c>
      <c r="B11" s="10" t="n">
        <v>1</v>
      </c>
      <c r="C11" s="17" t="n">
        <v>10</v>
      </c>
      <c r="D11" s="10">
        <f>B6*C6</f>
        <v/>
      </c>
      <c r="E11" s="17" t="n">
        <v>300</v>
      </c>
      <c r="F11" s="10">
        <f>B6*E6</f>
        <v/>
      </c>
    </row>
    <row r="12">
      <c r="A12" s="14" t="inlineStr">
        <is>
          <t>캐릭터 세트 완성</t>
        </is>
      </c>
      <c r="B12" s="10" t="n">
        <v>1</v>
      </c>
      <c r="C12" s="17" t="n">
        <v>10</v>
      </c>
      <c r="D12" s="10">
        <f>B7*C7</f>
        <v/>
      </c>
      <c r="E12" s="17" t="n">
        <v>300</v>
      </c>
      <c r="F12" s="10">
        <f>B7*E7</f>
        <v/>
      </c>
    </row>
    <row r="13" ht="16.15" customHeight="1" s="11">
      <c r="A13" s="14" t="inlineStr">
        <is>
          <t>레전드 세트 완성</t>
        </is>
      </c>
      <c r="B13" s="10" t="n">
        <v>1</v>
      </c>
      <c r="C13" s="17" t="n">
        <v>10</v>
      </c>
      <c r="D13" s="10">
        <f>B8*C8</f>
        <v/>
      </c>
      <c r="E13" s="17" t="n">
        <v>300</v>
      </c>
      <c r="F13" s="10">
        <f>B8*E8</f>
        <v/>
      </c>
    </row>
    <row r="14" ht="17.15" customHeight="1" s="11">
      <c r="A14" s="14" t="inlineStr">
        <is>
          <t>도감 전체 완성</t>
        </is>
      </c>
      <c r="B14" s="10" t="n">
        <v>1</v>
      </c>
      <c r="C14" s="17" t="n">
        <v>100</v>
      </c>
      <c r="D14" s="10">
        <f>B9*C9</f>
        <v/>
      </c>
      <c r="E14" s="17" t="n">
        <v>3000</v>
      </c>
      <c r="F14" s="10">
        <f>B9*E9</f>
        <v/>
      </c>
    </row>
    <row r="15" ht="17.15" customHeight="1" s="11">
      <c r="A15" s="10" t="inlineStr">
        <is>
          <t>업적 (achievements.json)</t>
        </is>
      </c>
      <c r="B15" s="10" t="n">
        <v>20</v>
      </c>
      <c r="D15" s="10" t="n">
        <v>81</v>
      </c>
      <c r="F15" s="10" t="n">
        <v>2820</v>
      </c>
    </row>
    <row r="16" ht="17.15" customHeight="1" s="11">
      <c r="A16" s="13" t="inlineStr">
        <is>
          <t>합계</t>
        </is>
      </c>
      <c r="D16" s="13">
        <f>SUM(D4:D15)</f>
        <v/>
      </c>
      <c r="F16" s="10">
        <f>SUM(F4:F15)</f>
        <v/>
      </c>
    </row>
    <row r="17" ht="17.15" customHeight="1" s="11">
      <c r="A17" s="14" t="inlineStr">
        <is>
          <t>검증 (988냥코인이어야 해요)</t>
        </is>
      </c>
      <c r="D17" s="10">
        <f>IF(D16=988,"OK","확인 필요")</f>
        <v/>
      </c>
    </row>
    <row r="18" ht="17.15" customHeight="1" s="11"/>
    <row r="19" ht="17.15" customHeight="1" s="11">
      <c r="A19" s="16" t="inlineStr">
        <is>
          <t>광고 수익 손익분기</t>
        </is>
      </c>
    </row>
    <row r="20">
      <c r="A20" s="14" t="inlineStr">
        <is>
          <t>짧은 광고 eCPM (원)</t>
        </is>
      </c>
      <c r="B20" s="17" t="n"/>
      <c r="C20" s="14" t="inlineStr">
        <is>
          <t>앱인토스 대시보드에서 입력</t>
        </is>
      </c>
    </row>
    <row r="21" ht="17.15" customHeight="1" s="11">
      <c r="A21" s="14" t="inlineStr">
        <is>
          <t>긴 광고 eCPM (원)</t>
        </is>
      </c>
      <c r="B21" s="17" t="n"/>
      <c r="C21" s="14" t="inlineStr">
        <is>
          <t>앱인토스 대시보드에서 입력</t>
        </is>
      </c>
    </row>
    <row r="22" ht="17.15" customHeight="1" s="11">
      <c r="A22" s="14" t="inlineStr">
        <is>
          <t>기간(일)</t>
        </is>
      </c>
      <c r="B22" s="17" t="n">
        <v>30</v>
      </c>
    </row>
    <row r="23" ht="17.15" customHeight="1" s="11">
      <c r="A23" s="10" t="inlineStr">
        <is>
          <t>1인 하루 짧은 광고 수 (뽑기 3 + 포인트 8)</t>
        </is>
      </c>
      <c r="B23" s="17" t="n">
        <v>11</v>
      </c>
    </row>
    <row r="24" ht="17.15" customHeight="1" s="11">
      <c r="A24" s="10" t="inlineStr">
        <is>
          <t>1인 하루 긴 광고 수</t>
        </is>
      </c>
      <c r="B24" s="17" t="n">
        <v>1</v>
      </c>
    </row>
    <row r="25" ht="17.15" customHeight="1" s="11">
      <c r="A25" s="14" t="inlineStr">
        <is>
          <t>기간 내 1인 냥코인 적립(=토스포인트 원, 시뮬 30일 중앙값)</t>
        </is>
      </c>
      <c r="B25" s="17" t="n">
        <v>83</v>
      </c>
    </row>
    <row r="27">
      <c r="A27" s="14" t="inlineStr">
        <is>
          <t>기간 내 1인 광고 수익(원)</t>
        </is>
      </c>
      <c r="B27" s="10">
        <f>IF(OR(B14="",B15=""),"eCPM 입력 필요",B16*(B17*B14+B18*B15)/1000)</f>
        <v/>
      </c>
    </row>
    <row r="28">
      <c r="A28" s="10" t="inlineStr">
        <is>
          <t>1인 순이익(원) = 광고 수익 − 토스포인트 지급</t>
        </is>
      </c>
      <c r="B28" s="10">
        <f>IF(ISNUMBER(B21),B21-B19,"eCPM 입력 필요")</f>
        <v/>
      </c>
    </row>
    <row r="29">
      <c r="A29" s="14" t="inlineStr">
        <is>
          <t>손익분기 평균 eCPM (원, 모든 광고 동일 가정)</t>
        </is>
      </c>
      <c r="B29" s="10">
        <f>B19/(B16*(B17+B18)/1000)</f>
        <v/>
      </c>
    </row>
    <row r="30">
      <c r="A30" s="14" t="inlineStr">
        <is>
          <t>손익분기 짧은 광고 eCPM (긴 광고 eCPM 입력 시)</t>
        </is>
      </c>
      <c r="B30" s="10">
        <f>IF(B15="","긴 광고 eCPM 입력 필요",(B19*1000/B16-B18*B15)/B17)</f>
        <v/>
      </c>
    </row>
    <row r="31">
      <c r="A31" s="14" t="inlineStr">
        <is>
          <t>최대 적립냥코인 회수에 필요한 광고 수 (평균 eCPM 입력 시)</t>
        </is>
      </c>
      <c r="B31" s="10">
        <f>IF(B14="","eCPM 입력 필요",D16*1000/B14)</f>
        <v/>
      </c>
    </row>
    <row r="33">
      <c r="A33" s="16" t="inlineStr">
        <is>
          <t>토스포인트로 받기 (출금 규칙)</t>
        </is>
      </c>
    </row>
    <row r="34">
      <c r="A34" s="14" t="inlineStr">
        <is>
          <t>출금 단위</t>
        </is>
      </c>
      <c r="B34" s="17" t="n">
        <v>10</v>
      </c>
    </row>
    <row r="35">
      <c r="A35" s="14" t="inlineStr">
        <is>
          <t>최소 출금</t>
        </is>
      </c>
      <c r="B35" s="17" t="n">
        <v>10</v>
      </c>
    </row>
    <row r="36">
      <c r="A36" s="14" t="inlineStr">
        <is>
          <t>1회 최대</t>
        </is>
      </c>
      <c r="B36" s="14" t="inlineStr">
        <is>
          <t>floor(잔액/10)×10</t>
        </is>
      </c>
    </row>
    <row r="37">
      <c r="A37" s="14" t="inlineStr">
        <is>
          <t>남는 냥코인</t>
        </is>
      </c>
      <c r="B37" s="14" t="inlineStr">
        <is>
          <t>그대로 보유 (예: 37 → 30 받고 7 남음)</t>
        </is>
      </c>
    </row>
    <row r="38">
      <c r="A38" s="14" t="inlineStr">
        <is>
          <t>검증</t>
        </is>
      </c>
      <c r="B38" s="14" t="inlineStr">
        <is>
          <t>서버: 10의 배수 · 10 이상 · 잔액 이하 · 계정당 동시 1건</t>
        </is>
      </c>
    </row>
    <row r="39">
      <c r="A39" s="14" t="inlineStr">
        <is>
          <t>멱등키</t>
        </is>
      </c>
      <c r="B39" s="14" t="inlineStr">
        <is>
          <t>tossUserKey + withdrawRequestId</t>
        </is>
      </c>
    </row>
    <row r="40">
      <c r="A40" s="14" t="inlineStr">
        <is>
          <t>지급</t>
        </is>
      </c>
      <c r="B40" s="14" t="inlineStr">
        <is>
          <t>서버→서버 토스 포인트 지급 API 호출, 실패 시 잔액 복구</t>
        </is>
      </c>
    </row>
    <row r="41">
      <c r="A41" s="14" t="inlineStr">
        <is>
          <t>주의</t>
        </is>
      </c>
      <c r="B41" s="14" t="inlineStr">
        <is>
          <t>지급 API 금액 한도·예산 충전·정책은 앱인토스 확인 필요</t>
        </is>
      </c>
    </row>
    <row r="42">
      <c r="A42" s="14" t="inlineStr">
        <is>
          <t>최대 적립 중 출금 가능</t>
        </is>
      </c>
      <c r="B42" s="14">
        <f>FLOOR(D16/10,1)*10</f>
        <v/>
      </c>
    </row>
    <row r="44">
      <c r="A44" s="10" t="inlineStr">
        <is>
          <t>1.8: 출석 7일차 냥코인 추가로 1인 최대 지급은 고정되지 않아요 ('출석' 시트 참고)</t>
        </is>
      </c>
    </row>
    <row r="45">
      <c r="A45" s="10" t="inlineStr">
        <is>
          <t>2.0: 광고 뽑기 1회마다 +1냥코인 ('냥코인 지급처' 시트)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  <row r="39">
      <c r="A39" s="25" t="inlineStr">
        <is>
          <t>7일차 보너스 (1.8)</t>
        </is>
      </c>
    </row>
    <row r="40">
      <c r="A40" s="10" t="inlineStr">
        <is>
          <t>구분</t>
        </is>
      </c>
      <c r="B40" s="10" t="inlineStr">
        <is>
          <t>냥코인</t>
        </is>
      </c>
      <c r="C40" s="10" t="inlineStr">
        <is>
          <t>포인트</t>
        </is>
      </c>
      <c r="D40" s="10" t="inlineStr">
        <is>
          <t>뽑기권</t>
        </is>
      </c>
      <c r="E40" s="10" t="inlineStr">
        <is>
          <t>비고</t>
        </is>
      </c>
    </row>
    <row r="41">
      <c r="A41" s="10" t="inlineStr">
        <is>
          <t>그냥 받기</t>
        </is>
      </c>
      <c r="B41" s="10" t="n">
        <v>5</v>
      </c>
      <c r="C41" s="10" t="n">
        <v>100</v>
      </c>
      <c r="D41" s="10" t="n">
        <v>0</v>
      </c>
      <c r="E41" s="10" t="inlineStr">
        <is>
          <t>기존 선물 상자/뽑기권에 추가</t>
        </is>
      </c>
    </row>
    <row r="42">
      <c r="A42" s="10" t="inlineStr">
        <is>
          <t>30초 광고 보고</t>
        </is>
      </c>
      <c r="B42" s="10" t="n">
        <v>10</v>
      </c>
      <c r="C42" s="10" t="n">
        <v>200</v>
      </c>
      <c r="D42" s="10" t="n">
        <v>1</v>
      </c>
      <c r="E42" s="10" t="inlineStr">
        <is>
          <t>주기당 1회, 뽑기권 최대 3장</t>
        </is>
      </c>
    </row>
    <row r="44">
      <c r="A44" s="10" t="inlineStr">
        <is>
          <t>연간 냥코인 비용</t>
        </is>
      </c>
      <c r="B44" s="10" t="inlineStr">
        <is>
          <t>주기 수</t>
        </is>
      </c>
      <c r="C44" s="10" t="inlineStr">
        <is>
          <t>기본(원)</t>
        </is>
      </c>
      <c r="D44" s="10" t="inlineStr">
        <is>
          <t>광고(원)</t>
        </is>
      </c>
    </row>
    <row r="45">
      <c r="A45" s="10" t="inlineStr">
        <is>
          <t>매일 출석</t>
        </is>
      </c>
      <c r="B45" s="10" t="n">
        <v>50</v>
      </c>
      <c r="C45" s="10">
        <f>B45*B41</f>
        <v/>
      </c>
      <c r="D45" s="10">
        <f>B45*B42</f>
        <v/>
      </c>
    </row>
    <row r="46">
      <c r="A46" s="10" t="inlineStr">
        <is>
          <t>주 5일</t>
        </is>
      </c>
      <c r="B46" s="10" t="n">
        <v>35</v>
      </c>
      <c r="C46" s="10">
        <f>B46*B41</f>
        <v/>
      </c>
      <c r="D46" s="10">
        <f>B46*B42</f>
        <v/>
      </c>
    </row>
    <row r="48">
      <c r="A48" s="10" t="inlineStr">
        <is>
          <t>광고 1회 손익</t>
        </is>
      </c>
      <c r="B48" s="10" t="inlineStr">
        <is>
          <t>eCPM</t>
        </is>
      </c>
      <c r="C48" s="10" t="inlineStr">
        <is>
          <t>순수익(운영비30%)</t>
        </is>
      </c>
      <c r="D48" s="10" t="inlineStr">
        <is>
          <t>수수료15% 후</t>
        </is>
      </c>
      <c r="E48" s="10" t="inlineStr">
        <is>
          <t>광고 시 지급 10원 대비</t>
        </is>
      </c>
    </row>
    <row r="49">
      <c r="A49" s="10" t="inlineStr"/>
      <c r="B49" s="10" t="n">
        <v>13000</v>
      </c>
      <c r="C49" s="10">
        <f>B50/1000*0.7</f>
        <v/>
      </c>
      <c r="D49" s="10">
        <f>C50*0.85</f>
        <v/>
      </c>
      <c r="E49" s="10">
        <f>C50-10</f>
        <v/>
      </c>
    </row>
    <row r="50">
      <c r="A50" s="10" t="inlineStr"/>
      <c r="B50" s="10" t="n">
        <v>15000</v>
      </c>
      <c r="C50" s="10">
        <f>B51/1000*0.7</f>
        <v/>
      </c>
      <c r="D50" s="10">
        <f>C51*0.85</f>
        <v/>
      </c>
      <c r="E50" s="10">
        <f>C51-10</f>
        <v/>
      </c>
    </row>
    <row r="51">
      <c r="A51" s="10" t="inlineStr">
        <is>
          <t>연간 상한 제안</t>
        </is>
      </c>
      <c r="B51" s="10" t="n">
        <v>300</v>
      </c>
      <c r="C51" s="10" t="inlineStr">
        <is>
          <t>초과분은 냥코인 1개당 10P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s="10" t="inlineStr">
        <is>
          <t>3-1</t>
        </is>
      </c>
      <c r="B16" s="10" t="inlineStr">
        <is>
          <t>도감 코인 배지</t>
        </is>
      </c>
      <c r="C16" s="10" t="inlineStr">
        <is>
          <t>방금 만난 고양이가 선물을 들고 왔어요 / 코인을 톡 눌러 받아 보세요 → 받은 뒤 ncoin-intro</t>
        </is>
      </c>
    </row>
    <row r="17">
      <c r="A17" s="10" t="inlineStr">
        <is>
          <t>3-1</t>
        </is>
      </c>
      <c r="B17" s="10" t="inlineStr">
        <is>
          <t>뽑은 카드 칸 강조</t>
        </is>
      </c>
      <c r="C17" s="10" t="inlineStr">
        <is>
          <t>방금 만난 고양이가 여기 들어왔어요 [다음]</t>
        </is>
      </c>
    </row>
    <row r="18">
      <c r="A18" s="10" t="inlineStr">
        <is>
          <t>3-2</t>
        </is>
      </c>
      <c r="B18" s="10" t="inlineStr">
        <is>
          <t>코인 배지 탭</t>
        </is>
      </c>
      <c r="C18" s="10" t="inlineStr">
        <is>
          <t>코인을 톡 누르면 보상을 받아요 · 냥코인 1 + 20P</t>
        </is>
      </c>
    </row>
    <row r="19">
      <c r="A19" s="10" t="inlineStr">
        <is>
          <t>3-3</t>
        </is>
      </c>
      <c r="B19" s="10" t="inlineStr">
        <is>
          <t>냥코인 소개</t>
        </is>
      </c>
      <c r="C19" s="10" t="inlineStr">
        <is>
          <t>냥코인을 처음 받았어요!</t>
        </is>
      </c>
    </row>
    <row r="20">
      <c r="A20" s="10" t="inlineStr">
        <is>
          <t>4-1</t>
        </is>
      </c>
      <c r="B20" s="10" t="inlineStr">
        <is>
          <t>서랍 아이템 집기</t>
        </is>
      </c>
      <c r="C20" s="10" t="inlineStr">
        <is>
          <t>서랍에서 마음에 드는 아이템을 꼬옹 눌러 보세요</t>
        </is>
      </c>
    </row>
    <row r="21">
      <c r="A21" s="10" t="inlineStr">
        <is>
          <t>4-2</t>
        </is>
      </c>
      <c r="B21" s="10" t="inlineStr">
        <is>
          <t>초록 칸으로 끌어 놓기</t>
        </is>
      </c>
      <c r="C21" s="10" t="inlineStr">
        <is>
          <t>방으로 끌고 와서 초록 칸에 놓아 보세요</t>
        </is>
      </c>
    </row>
    <row r="22">
      <c r="A22" s="10" t="inlineStr">
        <is>
          <t>4-3</t>
        </is>
      </c>
      <c r="B22" s="10" t="inlineStr">
        <is>
          <t>배치 성공</t>
        </is>
      </c>
      <c r="C22" s="10" t="inlineStr">
        <is>
          <t>잘했어요! 다른 아이템도 자유롭게 꾸며 보세요 [완료]</t>
        </is>
      </c>
    </row>
    <row r="23">
      <c r="A23" s="10" t="inlineStr">
        <is>
          <t>4-3 완료</t>
        </is>
      </c>
      <c r="B23" s="10" t="inlineStr">
        <is>
          <t>→ 5단계로 이동</t>
        </is>
      </c>
      <c r="C23" s="10" t="inlineStr">
        <is>
          <t>(tutorialDone은 5-3에서)</t>
        </is>
      </c>
    </row>
    <row r="24">
      <c r="A24" s="10" t="inlineStr">
        <is>
          <t>5-1</t>
        </is>
      </c>
      <c r="B24" s="10" t="inlineStr">
        <is>
          <t>메뉴 버튼</t>
        </is>
      </c>
      <c r="C24" s="10" t="inlineStr">
        <is>
          <t>메뉴에서 모은 냥코인을 확인할 수 있어요</t>
        </is>
      </c>
    </row>
    <row r="25">
      <c r="A25" s="10" t="inlineStr">
        <is>
          <t>5-2</t>
        </is>
      </c>
      <c r="B25" s="10" t="inlineStr">
        <is>
          <t>보상함 행</t>
        </is>
      </c>
      <c r="C25" s="10" t="inlineStr">
        <is>
          <t>보상함을 눌러 보세요</t>
        </is>
      </c>
    </row>
    <row r="26">
      <c r="A26" s="10" t="inlineStr">
        <is>
          <t>5-3</t>
        </is>
      </c>
      <c r="B26" s="10" t="inlineStr">
        <is>
          <t>지갑·출금 영역</t>
        </is>
      </c>
      <c r="C26" s="10" t="inlineStr">
        <is>
          <t>냥코인 10개부터 토스포인트로 바꿀 수 있어요 · 하루 최대 50원 [알겠어요] → tutorialDone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id</t>
        </is>
      </c>
      <c r="B1" s="25" t="inlineStr">
        <is>
          <t>분류</t>
        </is>
      </c>
      <c r="C1" s="25" t="inlineStr">
        <is>
          <t>칭호</t>
        </is>
      </c>
      <c r="D1" s="25" t="inlineStr">
        <is>
          <t>업적</t>
        </is>
      </c>
      <c r="E1" s="25" t="inlineStr">
        <is>
          <t>조건</t>
        </is>
      </c>
      <c r="F1" s="25" t="inlineStr">
        <is>
          <t>냥코인</t>
        </is>
      </c>
      <c r="G1" s="25" t="inlineStr">
        <is>
          <t>포인트</t>
        </is>
      </c>
    </row>
    <row r="2">
      <c r="A2" s="10" t="inlineStr">
        <is>
          <t>first_meet</t>
        </is>
      </c>
      <c r="B2" s="10" t="inlineStr">
        <is>
          <t>수집</t>
        </is>
      </c>
      <c r="C2" s="10" t="inlineStr">
        <is>
          <t>새내기 집사</t>
        </is>
      </c>
      <c r="D2" s="10" t="inlineStr">
        <is>
          <t>첫 고양이 만나기</t>
        </is>
      </c>
      <c r="E2" s="10" t="inlineStr">
        <is>
          <t>도감 1장</t>
        </is>
      </c>
      <c r="F2" s="10" t="n">
        <v>1</v>
      </c>
      <c r="G2" s="10" t="n">
        <v>20</v>
      </c>
    </row>
    <row r="3">
      <c r="A3" s="10" t="inlineStr">
        <is>
          <t>dex_10</t>
        </is>
      </c>
      <c r="B3" s="10" t="inlineStr">
        <is>
          <t>수집</t>
        </is>
      </c>
      <c r="C3" s="10" t="inlineStr">
        <is>
          <t>골목 산책냥</t>
        </is>
      </c>
      <c r="D3" s="10" t="inlineStr">
        <is>
          <t>도감 10장 모으기</t>
        </is>
      </c>
      <c r="E3" s="10" t="inlineStr">
        <is>
          <t>도감 10장</t>
        </is>
      </c>
      <c r="F3" s="10" t="n">
        <v>2</v>
      </c>
      <c r="G3" s="10" t="n">
        <v>50</v>
      </c>
    </row>
    <row r="4">
      <c r="A4" s="10" t="inlineStr">
        <is>
          <t>dex_30</t>
        </is>
      </c>
      <c r="B4" s="10" t="inlineStr">
        <is>
          <t>수집</t>
        </is>
      </c>
      <c r="C4" s="10" t="inlineStr">
        <is>
          <t>동네 고양이 반장</t>
        </is>
      </c>
      <c r="D4" s="10" t="inlineStr">
        <is>
          <t>도감 30장 모으기</t>
        </is>
      </c>
      <c r="E4" s="10" t="inlineStr">
        <is>
          <t>도감 30장</t>
        </is>
      </c>
      <c r="F4" s="10" t="n">
        <v>3</v>
      </c>
      <c r="G4" s="10" t="n">
        <v>100</v>
      </c>
    </row>
    <row r="5">
      <c r="A5" s="10" t="inlineStr">
        <is>
          <t>dex_60</t>
        </is>
      </c>
      <c r="B5" s="10" t="inlineStr">
        <is>
          <t>수집</t>
        </is>
      </c>
      <c r="C5" s="10" t="inlineStr">
        <is>
          <t>냥덕 학자</t>
        </is>
      </c>
      <c r="D5" s="10" t="inlineStr">
        <is>
          <t>도감 60장 모으기</t>
        </is>
      </c>
      <c r="E5" s="10" t="inlineStr">
        <is>
          <t>도감 60장</t>
        </is>
      </c>
      <c r="F5" s="10" t="n">
        <v>5</v>
      </c>
      <c r="G5" s="10" t="n">
        <v>200</v>
      </c>
    </row>
    <row r="6">
      <c r="A6" s="10" t="inlineStr">
        <is>
          <t>dex_90</t>
        </is>
      </c>
      <c r="B6" s="10" t="inlineStr">
        <is>
          <t>수집</t>
        </is>
      </c>
      <c r="C6" s="10" t="inlineStr">
        <is>
          <t>고양이 백과사전</t>
        </is>
      </c>
      <c r="D6" s="10" t="inlineStr">
        <is>
          <t>도감 90장 모으기</t>
        </is>
      </c>
      <c r="E6" s="10" t="inlineStr">
        <is>
          <t>도감 90장</t>
        </is>
      </c>
      <c r="F6" s="10" t="n">
        <v>8</v>
      </c>
      <c r="G6" s="10" t="n">
        <v>300</v>
      </c>
    </row>
    <row r="7">
      <c r="A7" s="10" t="inlineStr">
        <is>
          <t>first_5star</t>
        </is>
      </c>
      <c r="B7" s="10" t="inlineStr">
        <is>
          <t>수집</t>
        </is>
      </c>
      <c r="C7" s="10" t="inlineStr">
        <is>
          <t>반짝별 수집가</t>
        </is>
      </c>
      <c r="D7" s="10" t="inlineStr">
        <is>
          <t>5★ 카드 처음 만나기</t>
        </is>
      </c>
      <c r="E7" s="10" t="inlineStr">
        <is>
          <t>5★ 1장</t>
        </is>
      </c>
      <c r="F7" s="10" t="n">
        <v>2</v>
      </c>
      <c r="G7" s="10" t="n">
        <v>50</v>
      </c>
    </row>
    <row r="8">
      <c r="A8" s="10" t="inlineStr">
        <is>
          <t>first_legend</t>
        </is>
      </c>
      <c r="B8" s="10" t="inlineStr">
        <is>
          <t>수집</t>
        </is>
      </c>
      <c r="C8" s="10" t="inlineStr">
        <is>
          <t>전설을 본 냥이</t>
        </is>
      </c>
      <c r="D8" s="10" t="inlineStr">
        <is>
          <t>레전드 카드 처음 만나기</t>
        </is>
      </c>
      <c r="E8" s="10" t="inlineStr">
        <is>
          <t>레전드 1장</t>
        </is>
      </c>
      <c r="F8" s="10" t="n">
        <v>3</v>
      </c>
      <c r="G8" s="10" t="n">
        <v>100</v>
      </c>
    </row>
    <row r="9">
      <c r="A9" s="10" t="inlineStr">
        <is>
          <t>first_set</t>
        </is>
      </c>
      <c r="B9" s="10" t="inlineStr">
        <is>
          <t>수집</t>
        </is>
      </c>
      <c r="C9" s="10" t="inlineStr">
        <is>
          <t>한 우물 집사</t>
        </is>
      </c>
      <c r="D9" s="10" t="inlineStr">
        <is>
          <t>품종 세트 처음 완성</t>
        </is>
      </c>
      <c r="E9" s="10" t="inlineStr">
        <is>
          <t>품종 세트 1개</t>
        </is>
      </c>
      <c r="F9" s="10" t="n">
        <v>2</v>
      </c>
      <c r="G9" s="10" t="n">
        <v>100</v>
      </c>
    </row>
    <row r="10">
      <c r="A10" s="10" t="inlineStr">
        <is>
          <t>draw_50</t>
        </is>
      </c>
      <c r="B10" s="10" t="inlineStr">
        <is>
          <t>뽑기</t>
        </is>
      </c>
      <c r="C10" s="10" t="inlineStr">
        <is>
          <t>행운 사냥꾼</t>
        </is>
      </c>
      <c r="D10" s="10" t="inlineStr">
        <is>
          <t>카드 50번 뽑기</t>
        </is>
      </c>
      <c r="E10" s="10" t="inlineStr">
        <is>
          <t>뽑기 50회</t>
        </is>
      </c>
      <c r="F10" s="10" t="n">
        <v>2</v>
      </c>
      <c r="G10" s="10" t="n">
        <v>50</v>
      </c>
    </row>
    <row r="11">
      <c r="A11" s="10" t="inlineStr">
        <is>
          <t>draw_300</t>
        </is>
      </c>
      <c r="B11" s="10" t="inlineStr">
        <is>
          <t>뽑기</t>
        </is>
      </c>
      <c r="C11" s="10" t="inlineStr">
        <is>
          <t>럭키 앞발</t>
        </is>
      </c>
      <c r="D11" s="10" t="inlineStr">
        <is>
          <t>카드 300번 뽑기</t>
        </is>
      </c>
      <c r="E11" s="10" t="inlineStr">
        <is>
          <t>뽑기 300회</t>
        </is>
      </c>
      <c r="F11" s="10" t="n">
        <v>5</v>
      </c>
      <c r="G11" s="10" t="n">
        <v>150</v>
      </c>
    </row>
    <row r="12">
      <c r="A12" s="10" t="inlineStr">
        <is>
          <t>draw_1000</t>
        </is>
      </c>
      <c r="B12" s="10" t="inlineStr">
        <is>
          <t>뽑기</t>
        </is>
      </c>
      <c r="C12" s="10" t="inlineStr">
        <is>
          <t>행운의 마스터냥</t>
        </is>
      </c>
      <c r="D12" s="10" t="inlineStr">
        <is>
          <t>카드 1000번 뽑기</t>
        </is>
      </c>
      <c r="E12" s="10" t="inlineStr">
        <is>
          <t>뽑기 1000회</t>
        </is>
      </c>
      <c r="F12" s="10" t="n">
        <v>10</v>
      </c>
      <c r="G12" s="10" t="n">
        <v>400</v>
      </c>
    </row>
    <row r="13">
      <c r="A13" s="10" t="inlineStr">
        <is>
          <t>att_7</t>
        </is>
      </c>
      <c r="B13" s="10" t="inlineStr">
        <is>
          <t>출석</t>
        </is>
      </c>
      <c r="C13" s="10" t="inlineStr">
        <is>
          <t>맨날 보고프냥</t>
        </is>
      </c>
      <c r="D13" s="10" t="inlineStr">
        <is>
          <t>출석 7일</t>
        </is>
      </c>
      <c r="E13" s="10" t="inlineStr">
        <is>
          <t>누적 출석 7일</t>
        </is>
      </c>
      <c r="F13" s="10" t="n">
        <v>2</v>
      </c>
      <c r="G13" s="10" t="n">
        <v>50</v>
      </c>
    </row>
    <row r="14">
      <c r="A14" s="10" t="inlineStr">
        <is>
          <t>att_30</t>
        </is>
      </c>
      <c r="B14" s="10" t="inlineStr">
        <is>
          <t>출석</t>
        </is>
      </c>
      <c r="C14" s="10" t="inlineStr">
        <is>
          <t>단골 집사</t>
        </is>
      </c>
      <c r="D14" s="10" t="inlineStr">
        <is>
          <t>출석 30일</t>
        </is>
      </c>
      <c r="E14" s="10" t="inlineStr">
        <is>
          <t>누적 출석 30일</t>
        </is>
      </c>
      <c r="F14" s="10" t="n">
        <v>5</v>
      </c>
      <c r="G14" s="10" t="n">
        <v>150</v>
      </c>
    </row>
    <row r="15">
      <c r="A15" s="10" t="inlineStr">
        <is>
          <t>att_100</t>
        </is>
      </c>
      <c r="B15" s="10" t="inlineStr">
        <is>
          <t>출석</t>
        </is>
      </c>
      <c r="C15" s="10" t="inlineStr">
        <is>
          <t>백일이냥</t>
        </is>
      </c>
      <c r="D15" s="10" t="inlineStr">
        <is>
          <t>출석 100일</t>
        </is>
      </c>
      <c r="E15" s="10" t="inlineStr">
        <is>
          <t>누적 출석 100일</t>
        </is>
      </c>
      <c r="F15" s="10" t="n">
        <v>10</v>
      </c>
      <c r="G15" s="10" t="n">
        <v>400</v>
      </c>
    </row>
    <row r="16">
      <c r="A16" s="10" t="inlineStr">
        <is>
          <t>room_10</t>
        </is>
      </c>
      <c r="B16" s="10" t="inlineStr">
        <is>
          <t>방꾸미기</t>
        </is>
      </c>
      <c r="C16" s="10" t="inlineStr">
        <is>
          <t>꾹꾹이 인테리어</t>
        </is>
      </c>
      <c r="D16" s="10" t="inlineStr">
        <is>
          <t>가구·소품 10개 놓기</t>
        </is>
      </c>
      <c r="E16" s="10" t="inlineStr">
        <is>
          <t>배치 10개 (동시)</t>
        </is>
      </c>
      <c r="F16" s="10" t="n">
        <v>2</v>
      </c>
      <c r="G16" s="10" t="n">
        <v>50</v>
      </c>
    </row>
    <row r="17">
      <c r="A17" s="10" t="inlineStr">
        <is>
          <t>room_30</t>
        </is>
      </c>
      <c r="B17" s="10" t="inlineStr">
        <is>
          <t>방꾸미기</t>
        </is>
      </c>
      <c r="C17" s="10" t="inlineStr">
        <is>
          <t>아늑함 장인</t>
        </is>
      </c>
      <c r="D17" s="10" t="inlineStr">
        <is>
          <t>가구·소품 30개 놓기</t>
        </is>
      </c>
      <c r="E17" s="10" t="inlineStr">
        <is>
          <t>배치 30개 (동시, 모든 방)</t>
        </is>
      </c>
      <c r="F17" s="10" t="n">
        <v>4</v>
      </c>
      <c r="G17" s="10" t="n">
        <v>150</v>
      </c>
    </row>
    <row r="18">
      <c r="A18" s="10" t="inlineStr">
        <is>
          <t>room_unlock2</t>
        </is>
      </c>
      <c r="B18" s="10" t="inlineStr">
        <is>
          <t>방꾸미기</t>
        </is>
      </c>
      <c r="C18" s="10" t="inlineStr">
        <is>
          <t>두 집 살림냥</t>
        </is>
      </c>
      <c r="D18" s="10" t="inlineStr">
        <is>
          <t>두 번째 방 열기</t>
        </is>
      </c>
      <c r="E18" s="10" t="inlineStr">
        <is>
          <t>방 2개 해금</t>
        </is>
      </c>
      <c r="F18" s="10" t="n">
        <v>3</v>
      </c>
      <c r="G18" s="10" t="n">
        <v>100</v>
      </c>
    </row>
    <row r="19">
      <c r="A19" s="10" t="inlineStr">
        <is>
          <t>room_all</t>
        </is>
      </c>
      <c r="B19" s="10" t="inlineStr">
        <is>
          <t>방꾸미기</t>
        </is>
      </c>
      <c r="C19" s="10" t="inlineStr">
        <is>
          <t>고양이 건축왕</t>
        </is>
      </c>
      <c r="D19" s="10" t="inlineStr">
        <is>
          <t>모든 방 열기</t>
        </is>
      </c>
      <c r="E19" s="10" t="inlineStr">
        <is>
          <t>방 전부 해금</t>
        </is>
      </c>
      <c r="F19" s="10" t="n">
        <v>5</v>
      </c>
      <c r="G19" s="10" t="n">
        <v>200</v>
      </c>
    </row>
    <row r="20">
      <c r="A20" s="10" t="inlineStr">
        <is>
          <t>exch_20</t>
        </is>
      </c>
      <c r="B20" s="10" t="inlineStr">
        <is>
          <t>교환</t>
        </is>
      </c>
      <c r="C20" s="10" t="inlineStr">
        <is>
          <t>알뜰 집사</t>
        </is>
      </c>
      <c r="D20" s="10" t="inlineStr">
        <is>
          <t>중복 카드 20장 교환</t>
        </is>
      </c>
      <c r="E20" s="10" t="inlineStr">
        <is>
          <t>교환 누적 20장</t>
        </is>
      </c>
      <c r="F20" s="10" t="n">
        <v>2</v>
      </c>
      <c r="G20" s="10" t="n">
        <v>50</v>
      </c>
    </row>
    <row r="21">
      <c r="A21" s="10" t="inlineStr">
        <is>
          <t>exch_100</t>
        </is>
      </c>
      <c r="B21" s="10" t="inlineStr">
        <is>
          <t>교환</t>
        </is>
      </c>
      <c r="C21" s="10" t="inlineStr">
        <is>
          <t>냥시장 큰손</t>
        </is>
      </c>
      <c r="D21" s="10" t="inlineStr">
        <is>
          <t>중복 카드 100장 교환</t>
        </is>
      </c>
      <c r="E21" s="10" t="inlineStr">
        <is>
          <t>교환 누적 100장</t>
        </is>
      </c>
      <c r="F21" s="10" t="n">
        <v>5</v>
      </c>
      <c r="G21" s="10" t="n">
        <v>150</v>
      </c>
    </row>
    <row r="22">
      <c r="A22" s="10" t="inlineStr">
        <is>
          <t>합계</t>
        </is>
      </c>
      <c r="B22" s="10" t="inlineStr"/>
      <c r="C22" s="10" t="inlineStr"/>
      <c r="D22" s="10" t="inlineStr"/>
      <c r="E22" s="10" t="inlineStr"/>
      <c r="F22" s="10">
        <f>SUM(F2:F21)</f>
        <v/>
      </c>
      <c r="G22" s="10">
        <f>SUM(G2:G21)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8" customWidth="1" style="11" min="3" max="3"/>
  </cols>
  <sheetData>
    <row r="1">
      <c r="A1" s="25" t="inlineStr">
        <is>
          <t>냥코인 지급처 (2.1) · 1냥코인 = 1원</t>
        </is>
      </c>
    </row>
    <row r="2">
      <c r="A2" s="10" t="inlineStr">
        <is>
          <t>지급처</t>
        </is>
      </c>
      <c r="B2" s="10" t="inlineStr">
        <is>
          <t>양</t>
        </is>
      </c>
      <c r="C2" s="10" t="inlineStr">
        <is>
          <t>조건</t>
        </is>
      </c>
      <c r="D2" s="10" t="inlineStr">
        <is>
          <t>한도</t>
        </is>
      </c>
      <c r="E2" s="10" t="inlineStr">
        <is>
          <t>설정</t>
        </is>
      </c>
    </row>
    <row r="3">
      <c r="A3" s="10" t="inlineStr">
        <is>
          <t>광고 뽑기</t>
        </is>
      </c>
      <c r="B3" s="10" t="n">
        <v>1</v>
      </c>
      <c r="C3" s="10" t="inlineStr">
        <is>
          <t>일반 광고 뽑기·광고 확률업 완료마다 (신규/중복 무관)</t>
        </is>
      </c>
      <c r="D3" s="10" t="inlineStr">
        <is>
          <t>하루 4 · 연 1,460</t>
        </is>
      </c>
      <c r="E3" s="10" t="inlineStr">
        <is>
          <t>ncoinSources.adDraw</t>
        </is>
      </c>
    </row>
    <row r="4">
      <c r="A4" s="10" t="inlineStr">
        <is>
          <t>포인트 광고</t>
        </is>
      </c>
      <c r="B4" s="10" t="n">
        <v>1</v>
      </c>
      <c r="C4" s="10" t="inlineStr">
        <is>
          <t>포인트 광고(10P) 완료마다 (주말에도 1개)</t>
        </is>
      </c>
      <c r="D4" s="10" t="inlineStr">
        <is>
          <t>하루 10 · 연 3,650</t>
        </is>
      </c>
      <c r="E4" s="10" t="inlineStr">
        <is>
          <t>ncoinSources.adPaw</t>
        </is>
      </c>
    </row>
    <row r="5">
      <c r="A5" s="10" t="inlineStr">
        <is>
          <t>새 카드 첫 획득</t>
        </is>
      </c>
      <c r="B5" s="10" t="inlineStr">
        <is>
          <t>1~50</t>
        </is>
      </c>
      <c r="C5" s="10" t="inlineStr">
        <is>
          <t>1~3★ 1, 4★ 5, 5★ 10, 밈 5, 캐릭터 7, 레전드 50</t>
        </is>
      </c>
      <c r="D5" s="10" t="inlineStr">
        <is>
          <t>총 597</t>
        </is>
      </c>
      <c r="E5" s="10" t="inlineStr">
        <is>
          <t>newCardFirstGet</t>
        </is>
      </c>
    </row>
    <row r="6">
      <c r="A6" s="10" t="inlineStr">
        <is>
          <t>세트 완성</t>
        </is>
      </c>
      <c r="B6" s="10" t="n">
        <v>10</v>
      </c>
      <c r="C6" s="10" t="inlineStr">
        <is>
          <t>품종 18 + 스페셜·캐릭터·레전드 3</t>
        </is>
      </c>
      <c r="D6" s="10" t="inlineStr">
        <is>
          <t>총 210</t>
        </is>
      </c>
      <c r="E6" s="10" t="inlineStr">
        <is>
          <t>setComplete</t>
        </is>
      </c>
    </row>
    <row r="7">
      <c r="A7" s="10" t="inlineStr">
        <is>
          <t>도감 전체 완성</t>
        </is>
      </c>
      <c r="B7" s="10" t="n">
        <v>100</v>
      </c>
      <c r="C7" s="10" t="inlineStr">
        <is>
          <t>1회</t>
        </is>
      </c>
      <c r="D7" s="10" t="inlineStr">
        <is>
          <t>100</t>
        </is>
      </c>
      <c r="E7" s="10" t="inlineStr">
        <is>
          <t>setComplete.fullDex</t>
        </is>
      </c>
    </row>
    <row r="8">
      <c r="A8" s="10" t="inlineStr">
        <is>
          <t>업적</t>
        </is>
      </c>
      <c r="B8" s="10" t="inlineStr">
        <is>
          <t>칭호별</t>
        </is>
      </c>
      <c r="C8" s="10" t="inlineStr">
        <is>
          <t>achievements.json</t>
        </is>
      </c>
      <c r="D8" s="10" t="inlineStr">
        <is>
          <t>총 81</t>
        </is>
      </c>
      <c r="E8" s="10" t="inlineStr">
        <is>
          <t>achievements.json</t>
        </is>
      </c>
    </row>
    <row r="9">
      <c r="A9" s="10" t="inlineStr">
        <is>
          <t>출석 7일차</t>
        </is>
      </c>
      <c r="B9" s="10" t="inlineStr">
        <is>
          <t>5 / 광고 10</t>
        </is>
      </c>
      <c r="C9" s="10" t="inlineStr">
        <is>
          <t>8일차 이후 매 주기</t>
        </is>
      </c>
      <c r="D9" s="10" t="inlineStr">
        <is>
          <t>연 250 / 500 (상한 꺼짐, 제안 300)</t>
        </is>
      </c>
      <c r="E9" s="10" t="inlineStr">
        <is>
          <t>day7Bonus</t>
        </is>
      </c>
    </row>
    <row r="10">
      <c r="A10" s="10" t="inlineStr">
        <is>
          <t>없음</t>
        </is>
      </c>
      <c r="B10" s="10" t="inlineStr">
        <is>
          <t>-</t>
        </is>
      </c>
      <c r="C10" s="10" t="inlineStr">
        <is>
          <t>구매, 생애 첫 무료 뽑기, 뽑기권 뽑기</t>
        </is>
      </c>
    </row>
    <row r="12">
      <c r="A12" s="10" t="inlineStr">
        <is>
          <t>광고 1회 마진 (뽑기·포인트 광고 공통)</t>
        </is>
      </c>
      <c r="B12" s="10" t="inlineStr">
        <is>
          <t>eCPM</t>
        </is>
      </c>
      <c r="C12" s="10" t="inlineStr">
        <is>
          <t>순수익(운영비 30%)</t>
        </is>
      </c>
      <c r="D12" s="10" t="inlineStr">
        <is>
          <t>−1냥코인</t>
        </is>
      </c>
      <c r="E12" s="10" t="inlineStr">
        <is>
          <t>수수료 15% 후 −1냥코인</t>
        </is>
      </c>
    </row>
    <row r="13">
      <c r="A13" s="10" t="inlineStr"/>
      <c r="B13" s="10" t="n">
        <v>13000</v>
      </c>
      <c r="C13" s="10">
        <f>B13/1000*0.7</f>
        <v/>
      </c>
      <c r="D13" s="10">
        <f>C13-1</f>
        <v/>
      </c>
      <c r="E13" s="10">
        <f>C13*0.85-1</f>
        <v/>
      </c>
    </row>
    <row r="14">
      <c r="A14" s="10" t="inlineStr"/>
      <c r="B14" s="10" t="n">
        <v>14000</v>
      </c>
      <c r="C14" s="10">
        <f>B14/1000*0.7</f>
        <v/>
      </c>
      <c r="D14" s="10">
        <f>C14-1</f>
        <v/>
      </c>
      <c r="E14" s="10">
        <f>C14*0.85-1</f>
        <v/>
      </c>
    </row>
    <row r="15">
      <c r="A15" s="10" t="inlineStr"/>
      <c r="B15" s="10" t="n">
        <v>15000</v>
      </c>
      <c r="C15" s="10">
        <f>B15/1000*0.7</f>
        <v/>
      </c>
      <c r="D15" s="10">
        <f>C15-1</f>
        <v/>
      </c>
      <c r="E15" s="10">
        <f>C15*0.85-1</f>
        <v/>
      </c>
    </row>
    <row r="17">
      <c r="A17" s="10" t="inlineStr">
        <is>
          <t>광고 냥코인 하루 최대 14 (뽑기 4 + 포인트 광고 10)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코지 점수 (2.2) · 배치 여부 무관</t>
        </is>
      </c>
    </row>
    <row r="2">
      <c r="A2" t="inlineStr">
        <is>
          <t>등급</t>
        </is>
      </c>
      <c r="B2" t="inlineStr">
        <is>
          <t>1개째</t>
        </is>
      </c>
      <c r="C2" t="inlineStr">
        <is>
          <t>2개째부터(50% 올림)</t>
        </is>
      </c>
      <c r="D2" t="inlineStr">
        <is>
          <t>최대 보유</t>
        </is>
      </c>
    </row>
    <row r="3">
      <c r="A3" t="inlineStr">
        <is>
          <t>작은 소품</t>
        </is>
      </c>
      <c r="B3" t="n">
        <v>4</v>
      </c>
      <c r="C3">
        <f>ROUNDUP(B3*0.5,0)</f>
        <v/>
      </c>
      <c r="D3" t="n">
        <v>5</v>
      </c>
    </row>
    <row r="4">
      <c r="A4" t="inlineStr">
        <is>
          <t>일반 가구</t>
        </is>
      </c>
      <c r="B4" t="n">
        <v>10</v>
      </c>
      <c r="C4">
        <f>ROUNDUP(B4*0.5,0)</f>
        <v/>
      </c>
      <c r="D4" t="n">
        <v>5</v>
      </c>
    </row>
    <row r="5">
      <c r="A5" t="inlineStr">
        <is>
          <t>큰/테마 대표</t>
        </is>
      </c>
      <c r="B5" t="n">
        <v>25</v>
      </c>
      <c r="C5">
        <f>ROUNDUP(B5*0.5,0)</f>
        <v/>
      </c>
      <c r="D5" t="n">
        <v>3</v>
      </c>
    </row>
    <row r="6">
      <c r="A6" t="inlineStr">
        <is>
          <t>벽 꾸미기</t>
        </is>
      </c>
      <c r="B6" t="n">
        <v>6</v>
      </c>
      <c r="C6">
        <f>ROUNDUP(B6*0.5,0)</f>
        <v/>
      </c>
      <c r="D6" t="n">
        <v>5</v>
      </c>
    </row>
    <row r="7">
      <c r="A7" t="inlineStr">
        <is>
          <t>벽지/바닥</t>
        </is>
      </c>
      <c r="B7" t="n">
        <v>8</v>
      </c>
      <c r="C7" t="inlineStr">
        <is>
          <t>중복 없음</t>
        </is>
      </c>
      <c r="D7" t="n">
        <v>1</v>
      </c>
    </row>
    <row r="8">
      <c r="A8" t="inlineStr">
        <is>
          <t>레전드급</t>
        </is>
      </c>
      <c r="B8" t="n">
        <v>60</v>
      </c>
      <c r="C8">
        <f>ROUNDUP(B8*0.5,0)</f>
        <v/>
      </c>
      <c r="D8" t="n">
        <v>3</v>
      </c>
    </row>
    <row r="9">
      <c r="A9" t="inlineStr">
        <is>
          <t>출석 한정</t>
        </is>
      </c>
      <c r="B9" t="inlineStr">
        <is>
          <t>등급대로</t>
        </is>
      </c>
      <c r="C9" t="inlineStr">
        <is>
          <t>중복 없음</t>
        </is>
      </c>
      <c r="D9" t="n">
        <v>1</v>
      </c>
    </row>
    <row r="11">
      <c r="A11" t="inlineStr">
        <is>
          <t>레벨 속도: 중복은 점수/가격이 새 아이템보다 낮아 Lv5·Lv8 도달일 변화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2026-10-16T12:51:38Z</dcterms:modified>
  <cp:revision>0</cp:revision>
</cp:coreProperties>
</file>