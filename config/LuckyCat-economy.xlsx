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인트 경제" sheetId="2" state="visible" r:id="rId2"/>
    <sheet xmlns:r="http://schemas.openxmlformats.org/officeDocument/2006/relationships" name="아이템 가격" sheetId="3" state="visible" r:id="rId3"/>
    <sheet xmlns:r="http://schemas.openxmlformats.org/officeDocument/2006/relationships" name="방" sheetId="4" state="visible" r:id="rId4"/>
    <sheet xmlns:r="http://schemas.openxmlformats.org/officeDocument/2006/relationships" name="보상·토스 지급" sheetId="5" state="visible" r:id="rId5"/>
    <sheet xmlns:r="http://schemas.openxmlformats.org/officeDocument/2006/relationships" name="신규 지급" sheetId="6" state="visible" r:id="rId6"/>
    <sheet xmlns:r="http://schemas.openxmlformats.org/officeDocument/2006/relationships" name="출석" sheetId="7" state="visible" r:id="rId7"/>
    <sheet xmlns:r="http://schemas.openxmlformats.org/officeDocument/2006/relationships" name="튜토리얼" sheetId="8" state="visible" r:id="rId8"/>
    <sheet xmlns:r="http://schemas.openxmlformats.org/officeDocument/2006/relationships" name="운영 지표" sheetId="9" state="visible" r:id="rId9"/>
  </sheets>
  <definedNames>
    <definedName name="_xlnm._FilterDatabase" localSheetId="2" hidden="1">'아이템 가격'!$A$3:$J$147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Noto Sans CJK SC"/>
      <family val="2"/>
      <color theme="1"/>
      <sz val="11"/>
    </font>
    <font>
      <name val="Noto Sans CJK SC"/>
      <family val="2"/>
      <b val="1"/>
      <sz val="13"/>
    </font>
    <font>
      <name val="Cambria"/>
      <charset val="1"/>
      <family val="0"/>
      <b val="1"/>
      <sz val="13"/>
    </font>
    <font>
      <name val="Noto Sans CJK SC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A2F55"/>
        <bgColor rgb="FF333399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4" borderId="0" pivotButton="0" quotePrefix="0" xfId="0"/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3A2F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F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0" min="1" max="1"/>
    <col width="70" customWidth="1" style="10" min="2" max="2"/>
  </cols>
  <sheetData>
    <row r="1" ht="17.35" customHeight="1" s="11">
      <c r="A1" s="12" t="inlineStr">
        <is>
          <t>럭키캣 경제 설계 요약</t>
        </is>
      </c>
    </row>
    <row r="3" ht="17.15" customHeight="1" s="11">
      <c r="A3" s="13" t="inlineStr">
        <is>
          <t>하루 포인트 수입 (주간 평균)</t>
        </is>
      </c>
      <c r="B3" s="10">
        <f>'포인트 경제'!B12</f>
        <v/>
      </c>
    </row>
    <row r="4" ht="15" customHeight="1" s="11">
      <c r="A4" s="13" t="inlineStr">
        <is>
          <t>시작 포인트</t>
        </is>
      </c>
      <c r="B4" s="10" t="n">
        <v>300</v>
      </c>
    </row>
    <row r="5" ht="17.15" customHeight="1" s="11">
      <c r="A5" s="13" t="inlineStr">
        <is>
          <t>광고 포인트</t>
        </is>
      </c>
      <c r="B5" s="10" t="inlineStr">
        <is>
          <t>10 × 하루 10회 = 최대 100</t>
        </is>
      </c>
    </row>
    <row r="6" ht="17.15" customHeight="1" s="11">
      <c r="A6" s="13" t="inlineStr">
        <is>
          <t>하루 뽑기</t>
        </is>
      </c>
      <c r="B6" s="14" t="inlineStr">
        <is>
          <t>일반 3 (모두 짧은 광고, 생애 첫 뽑기만 무료) + 확률업 1 (긴 광고)</t>
        </is>
      </c>
    </row>
    <row r="7" ht="17.15" customHeight="1" s="11">
      <c r="A7" s="15" t="inlineStr">
        <is>
          <t>1인 최대 토스 지급(원)</t>
        </is>
      </c>
      <c r="B7" s="10">
        <f>'보상·토스 지급'!D10</f>
        <v/>
      </c>
    </row>
    <row r="8" ht="17.15" customHeight="1" s="11">
      <c r="A8" s="13" t="inlineStr">
        <is>
          <t>코지 Lv.5 / Lv.8</t>
        </is>
      </c>
      <c r="B8" s="10" t="inlineStr">
        <is>
          <t>200 / 280 코지 (활성 유저 12일 / 28일차)</t>
        </is>
      </c>
    </row>
    <row r="9" ht="17.15" customHeight="1" s="11">
      <c r="A9" s="13" t="inlineStr">
        <is>
          <t>고양이 카페</t>
        </is>
      </c>
      <c r="B9" s="10" t="inlineStr">
        <is>
          <t>1,500 포인트 + 코지 Lv.5</t>
        </is>
      </c>
    </row>
    <row r="10" ht="17.15" customHeight="1" s="11">
      <c r="A10" s="13" t="inlineStr">
        <is>
          <t>벚꽃 온실</t>
        </is>
      </c>
      <c r="B10" s="10" t="inlineStr">
        <is>
          <t>3,000 포인트 + 코지 Lv.8</t>
        </is>
      </c>
    </row>
    <row r="11" ht="15" customHeight="1" s="11">
      <c r="A11" s="13" t="inlineStr">
        <is>
          <t>가격이 매겨진 아이템 수</t>
        </is>
      </c>
      <c r="B11" s="10">
        <f>COUNTA('아이템 가격'!A4:A147)</f>
        <v/>
      </c>
    </row>
    <row r="12" ht="17.15" customHeight="1" s="11">
      <c r="A12" s="13" t="inlineStr">
        <is>
          <t>광고 eCPM</t>
        </is>
      </c>
      <c r="B12" s="10" t="inlineStr">
        <is>
          <t>'보상·토스 지급' 시트 노란 칸에 앱인토스 대시보드 값 입력</t>
        </is>
      </c>
    </row>
    <row r="13" ht="17.15" customHeight="1" s="11">
      <c r="A13" s="13" t="inlineStr">
        <is>
          <t>손익분기 평균 eCPM(원)</t>
        </is>
      </c>
      <c r="B13" s="10">
        <f>'보상·토스 지급'!B23</f>
        <v/>
      </c>
    </row>
    <row r="14" ht="15" customHeight="1" s="11">
      <c r="A14" s="13" t="inlineStr">
        <is>
          <t>서버 설정 소스</t>
        </is>
      </c>
      <c r="B14" s="10" t="inlineStr">
        <is>
          <t>economy.json · prices.json · starter.json · tutorial.json</t>
        </is>
      </c>
    </row>
    <row r="15">
      <c r="A15" t="inlineStr">
        <is>
          <t>출석</t>
        </is>
      </c>
      <c r="B15" t="inlineStr">
        <is>
          <t>1주차 출석 한정 아이템 7개 → 이후 주간 반복(10/10/15/15/20/20P + 7일차 상자/확률업 뽑기권 번갈아), 30·100일 기념 벽장식+배지, 리셋 없음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10" min="1" max="1"/>
    <col width="14" customWidth="1" style="10" min="2" max="4"/>
    <col width="18" customWidth="1" style="10" min="5" max="5"/>
    <col width="22" customWidth="1" style="10" min="6" max="6"/>
  </cols>
  <sheetData>
    <row r="1" ht="20.1" customHeight="1" s="11">
      <c r="A1" s="16" t="inlineStr">
        <is>
          <t>포인트(발바닥) 경제 — 노란 칸은 입력값</t>
        </is>
      </c>
    </row>
    <row r="3" ht="17.15" customHeight="1" s="11">
      <c r="A3" s="14" t="inlineStr">
        <is>
          <t>광고 1회 포인트</t>
        </is>
      </c>
      <c r="B3" s="17" t="n">
        <v>10</v>
      </c>
    </row>
    <row r="4" ht="17.15" customHeight="1" s="11">
      <c r="A4" s="14" t="inlineStr">
        <is>
          <t>하루 광고 시청 수 (최대 10)</t>
        </is>
      </c>
      <c r="B4" s="17" t="n">
        <v>8</v>
      </c>
    </row>
    <row r="5" ht="17.15" customHeight="1" s="11">
      <c r="A5" s="14" t="inlineStr">
        <is>
          <t>하루 뽑기 수 (일반3+확률업1)</t>
        </is>
      </c>
      <c r="B5" s="17" t="n">
        <v>4</v>
      </c>
    </row>
    <row r="6" ht="17.15" customHeight="1" s="11">
      <c r="A6" s="14" t="inlineStr">
        <is>
          <t>새 카드 비율 (초반 0.8 → 한 달 후 0.3)</t>
        </is>
      </c>
      <c r="B6" s="17" t="n">
        <v>0.6</v>
      </c>
    </row>
    <row r="7" ht="17.15" customHeight="1" s="11">
      <c r="A7" s="14" t="inlineStr">
        <is>
          <t>새 카드 1장 포인트</t>
        </is>
      </c>
      <c r="B7" s="17" t="n">
        <v>20</v>
      </c>
    </row>
    <row r="8" ht="17.15" customHeight="1" s="11">
      <c r="A8" s="14" t="inlineStr">
        <is>
          <t>중복 1장 평균 포인트</t>
        </is>
      </c>
      <c r="B8" s="17" t="n">
        <v>20</v>
      </c>
    </row>
    <row r="9" ht="17.15" customHeight="1" s="11">
      <c r="A9" s="14" t="inlineStr">
        <is>
          <t>주말 2배 적용 (1=예)</t>
        </is>
      </c>
      <c r="B9" s="17" t="n">
        <v>0</v>
      </c>
    </row>
    <row r="11" ht="17.15" customHeight="1" s="11">
      <c r="A11" s="13" t="inlineStr">
        <is>
          <t>하루 포인트 수입 (평일)</t>
        </is>
      </c>
      <c r="B11" s="10">
        <f>B3*B4*IF(B9=1,2,1)+B5*(B6*B7+(1-B6)*B8)</f>
        <v/>
      </c>
      <c r="C11" s="14" t="inlineStr">
        <is>
          <t>← 다른 시트의 "며칠 모으면" 계산에 사용</t>
        </is>
      </c>
    </row>
    <row r="12" ht="17.15" customHeight="1" s="11">
      <c r="A12" s="14" t="inlineStr">
        <is>
          <t>주간 평균 (주말 2배 반영)</t>
        </is>
      </c>
      <c r="B12" s="10">
        <f>(5*(B3*B4+B5*(B6*B7+(1-B6)*B8))+2*(B3*B4*2+B5*(B6*B7+(1-B6)*B8)))/7</f>
        <v/>
      </c>
    </row>
    <row r="14" ht="15" customHeight="1" s="11">
      <c r="A14" s="18" t="inlineStr">
        <is>
          <t>중복 전환</t>
        </is>
      </c>
      <c r="B14" s="18" t="inlineStr">
        <is>
          <t>포인트</t>
        </is>
      </c>
    </row>
    <row r="15" ht="17.15" customHeight="1" s="11">
      <c r="A15" s="14" t="inlineStr">
        <is>
          <t>일반 (1–2★)</t>
        </is>
      </c>
      <c r="B15" s="10" t="n">
        <v>10</v>
      </c>
    </row>
    <row r="16" ht="17.15" customHeight="1" s="11">
      <c r="A16" s="14" t="inlineStr">
        <is>
          <t>레어 (3–5★)</t>
        </is>
      </c>
      <c r="B16" s="10" t="n">
        <v>30</v>
      </c>
    </row>
    <row r="17" ht="15" customHeight="1" s="11">
      <c r="A17" s="14" t="inlineStr">
        <is>
          <t>스페셜</t>
        </is>
      </c>
      <c r="B17" s="10" t="n">
        <v>60</v>
      </c>
    </row>
    <row r="18" ht="15" customHeight="1" s="11">
      <c r="A18" s="14" t="inlineStr">
        <is>
          <t>캐릭터</t>
        </is>
      </c>
      <c r="B18" s="10" t="n">
        <v>60</v>
      </c>
    </row>
    <row r="19" ht="15" customHeight="1" s="11">
      <c r="A19" s="14" t="inlineStr">
        <is>
          <t>레전드</t>
        </is>
      </c>
      <c r="B19" s="10" t="n">
        <v>150</v>
      </c>
    </row>
    <row r="21" ht="17.15" customHeight="1" s="11">
      <c r="A21" s="18" t="inlineStr">
        <is>
          <t>등급 (제안 확률)</t>
        </is>
      </c>
      <c r="B21" s="18" t="inlineStr">
        <is>
          <t>일반 뽑기</t>
        </is>
      </c>
      <c r="C21" s="18" t="inlineStr">
        <is>
          <t>확률업 뽑기</t>
        </is>
      </c>
      <c r="D21" s="18" t="inlineStr">
        <is>
          <t>중복 포인트</t>
        </is>
      </c>
      <c r="E21" s="18" t="inlineStr">
        <is>
          <t>일반 뽑기 중복 기대값</t>
        </is>
      </c>
    </row>
    <row r="22" ht="17.15" customHeight="1" s="11">
      <c r="A22" s="14" t="inlineStr">
        <is>
          <t>품종 1★</t>
        </is>
      </c>
      <c r="B22" s="19" t="n">
        <v>0.345</v>
      </c>
      <c r="C22" s="19" t="n">
        <v>0.15</v>
      </c>
      <c r="D22" s="10" t="n">
        <v>10</v>
      </c>
      <c r="E22" s="10">
        <f>B22*D22</f>
        <v/>
      </c>
    </row>
    <row r="23" ht="17.15" customHeight="1" s="11">
      <c r="A23" s="14" t="inlineStr">
        <is>
          <t>품종 2★</t>
        </is>
      </c>
      <c r="B23" s="19" t="n">
        <v>0.285</v>
      </c>
      <c r="C23" s="19" t="n">
        <v>0.2</v>
      </c>
      <c r="D23" s="10" t="n">
        <v>10</v>
      </c>
      <c r="E23" s="10">
        <f>B23*D23</f>
        <v/>
      </c>
    </row>
    <row r="24" ht="17.15" customHeight="1" s="11">
      <c r="A24" s="14" t="inlineStr">
        <is>
          <t>품종 3★</t>
        </is>
      </c>
      <c r="B24" s="19" t="n">
        <v>0.17</v>
      </c>
      <c r="C24" s="19" t="n">
        <v>0.22</v>
      </c>
      <c r="D24" s="10" t="n">
        <v>30</v>
      </c>
      <c r="E24" s="10">
        <f>B24*D24</f>
        <v/>
      </c>
    </row>
    <row r="25" ht="17.15" customHeight="1" s="11">
      <c r="A25" s="14" t="inlineStr">
        <is>
          <t>품종 4★</t>
        </is>
      </c>
      <c r="B25" s="19" t="n">
        <v>0.1</v>
      </c>
      <c r="C25" s="19" t="n">
        <v>0.16</v>
      </c>
      <c r="D25" s="10" t="n">
        <v>30</v>
      </c>
      <c r="E25" s="10">
        <f>B25*D25</f>
        <v/>
      </c>
    </row>
    <row r="26" ht="17.15" customHeight="1" s="11">
      <c r="A26" s="14" t="inlineStr">
        <is>
          <t>품종 5★</t>
        </is>
      </c>
      <c r="B26" s="19" t="n">
        <v>0.035</v>
      </c>
      <c r="C26" s="19" t="n">
        <v>0.1</v>
      </c>
      <c r="D26" s="10" t="n">
        <v>30</v>
      </c>
      <c r="E26" s="10">
        <f>B26*D26</f>
        <v/>
      </c>
    </row>
    <row r="27" ht="15" customHeight="1" s="11">
      <c r="A27" s="14" t="inlineStr">
        <is>
          <t>스페셜</t>
        </is>
      </c>
      <c r="B27" s="19" t="n">
        <v>0.04</v>
      </c>
      <c r="C27" s="19" t="n">
        <v>0.1</v>
      </c>
      <c r="D27" s="10" t="n">
        <v>60</v>
      </c>
      <c r="E27" s="10">
        <f>B27*D27</f>
        <v/>
      </c>
    </row>
    <row r="28" ht="15" customHeight="1" s="11">
      <c r="A28" s="14" t="inlineStr">
        <is>
          <t>캐릭터</t>
        </is>
      </c>
      <c r="B28" s="19" t="n">
        <v>0.015</v>
      </c>
      <c r="C28" s="19" t="n">
        <v>0.045</v>
      </c>
      <c r="D28" s="10" t="n">
        <v>60</v>
      </c>
      <c r="E28" s="10">
        <f>B28*D28</f>
        <v/>
      </c>
    </row>
    <row r="29" ht="15" customHeight="1" s="11">
      <c r="A29" s="14" t="inlineStr">
        <is>
          <t>레전드</t>
        </is>
      </c>
      <c r="B29" s="19" t="n">
        <v>0.01</v>
      </c>
      <c r="C29" s="19" t="n">
        <v>0.025</v>
      </c>
      <c r="D29" s="10" t="n">
        <v>150</v>
      </c>
      <c r="E29" s="10">
        <f>B29*D29</f>
        <v/>
      </c>
    </row>
    <row r="30" ht="17.15" customHeight="1" s="11">
      <c r="A30" s="13" t="inlineStr">
        <is>
          <t>합계 / 중복 1장 기대 포인트</t>
        </is>
      </c>
      <c r="B30" s="19">
        <f>SUM(B22:B29)</f>
        <v/>
      </c>
      <c r="C30" s="19">
        <f>SUM(C22:C29)</f>
        <v/>
      </c>
      <c r="E30" s="10">
        <f>SUM(E22:E29)</f>
        <v/>
      </c>
    </row>
    <row r="31" ht="17.15" customHeight="1" s="11">
      <c r="A31" s="14" t="inlineStr">
        <is>
          <t>확률은 제안값이에요 (economy.json draws.rates_proposal). 확정 시 이 표와 서버 설정을 함께 바꿔요.</t>
        </is>
      </c>
    </row>
    <row r="33" ht="17.15" customHeight="1" s="11">
      <c r="A33" s="13" t="inlineStr">
        <is>
          <t>활성 유저 시뮬레이션 중앙값 (광고 8회·뽑기 4회/일, 하루 최대 3개 구매, 300명)</t>
        </is>
      </c>
    </row>
    <row r="34" ht="17.15" customHeight="1" s="11">
      <c r="A34" s="18" t="inlineStr">
        <is>
          <t>일차</t>
        </is>
      </c>
      <c r="B34" s="18" t="inlineStr">
        <is>
          <t>보유 포인트</t>
        </is>
      </c>
      <c r="C34" s="18" t="inlineStr">
        <is>
          <t>코지 포인트</t>
        </is>
      </c>
      <c r="D34" s="18" t="inlineStr">
        <is>
          <t>도감 카드 수</t>
        </is>
      </c>
      <c r="E34" s="18" t="inlineStr">
        <is>
          <t>누적 토스 지급(원)</t>
        </is>
      </c>
      <c r="F34" s="18" t="inlineStr">
        <is>
          <t>보유 방 수</t>
        </is>
      </c>
    </row>
    <row r="35" ht="15" customHeight="1" s="11">
      <c r="A35" s="10" t="n">
        <v>1</v>
      </c>
      <c r="B35" s="10" t="n">
        <v>30</v>
      </c>
      <c r="C35" s="10" t="n">
        <v>98</v>
      </c>
      <c r="D35" s="10" t="n">
        <v>4</v>
      </c>
      <c r="E35" s="10" t="n">
        <v>4</v>
      </c>
      <c r="F35" s="10" t="n">
        <v>1</v>
      </c>
    </row>
    <row r="36" ht="15" customHeight="1" s="11">
      <c r="A36" s="10" t="n">
        <v>2</v>
      </c>
      <c r="B36" s="10" t="n">
        <v>30</v>
      </c>
      <c r="C36" s="10" t="n">
        <v>108</v>
      </c>
      <c r="D36" s="10" t="n">
        <v>8</v>
      </c>
      <c r="E36" s="10" t="n">
        <v>8</v>
      </c>
      <c r="F36" s="10" t="n">
        <v>1</v>
      </c>
    </row>
    <row r="37" ht="15" customHeight="1" s="11">
      <c r="A37" s="10" t="n">
        <v>3</v>
      </c>
      <c r="B37" s="10" t="n">
        <v>40</v>
      </c>
      <c r="C37" s="10" t="n">
        <v>118</v>
      </c>
      <c r="D37" s="10" t="n">
        <v>11</v>
      </c>
      <c r="E37" s="10" t="n">
        <v>11</v>
      </c>
      <c r="F37" s="10" t="n">
        <v>1</v>
      </c>
    </row>
    <row r="38" ht="15" customHeight="1" s="11">
      <c r="A38" s="10" t="n">
        <v>4</v>
      </c>
      <c r="B38" s="10" t="n">
        <v>40</v>
      </c>
      <c r="C38" s="10" t="n">
        <v>128</v>
      </c>
      <c r="D38" s="10" t="n">
        <v>15</v>
      </c>
      <c r="E38" s="10" t="n">
        <v>15</v>
      </c>
      <c r="F38" s="10" t="n">
        <v>1</v>
      </c>
    </row>
    <row r="39" ht="15" customHeight="1" s="11">
      <c r="A39" s="10" t="n">
        <v>5</v>
      </c>
      <c r="B39" s="10" t="n">
        <v>35</v>
      </c>
      <c r="C39" s="10" t="n">
        <v>138</v>
      </c>
      <c r="D39" s="10" t="n">
        <v>18</v>
      </c>
      <c r="E39" s="10" t="n">
        <v>18</v>
      </c>
      <c r="F39" s="10" t="n">
        <v>1</v>
      </c>
    </row>
    <row r="40" ht="15" customHeight="1" s="11">
      <c r="A40" s="10" t="n">
        <v>6</v>
      </c>
      <c r="B40" s="10" t="n">
        <v>30</v>
      </c>
      <c r="C40" s="10" t="n">
        <v>146</v>
      </c>
      <c r="D40" s="10" t="n">
        <v>21</v>
      </c>
      <c r="E40" s="10" t="n">
        <v>21</v>
      </c>
      <c r="F40" s="10" t="n">
        <v>1</v>
      </c>
    </row>
    <row r="41" ht="15" customHeight="1" s="11">
      <c r="A41" s="10" t="n">
        <v>7</v>
      </c>
      <c r="B41" s="10" t="n">
        <v>40</v>
      </c>
      <c r="C41" s="10" t="n">
        <v>177</v>
      </c>
      <c r="D41" s="10" t="n">
        <v>24</v>
      </c>
      <c r="E41" s="10" t="n">
        <v>24</v>
      </c>
      <c r="F41" s="10" t="n">
        <v>1</v>
      </c>
    </row>
    <row r="42" ht="15" customHeight="1" s="11">
      <c r="A42" s="10" t="n">
        <v>8</v>
      </c>
      <c r="B42" s="10" t="n">
        <v>30</v>
      </c>
      <c r="C42" s="10" t="n">
        <v>183</v>
      </c>
      <c r="D42" s="10" t="n">
        <v>27</v>
      </c>
      <c r="E42" s="10" t="n">
        <v>27</v>
      </c>
      <c r="F42" s="10" t="n">
        <v>1</v>
      </c>
    </row>
    <row r="43" ht="15" customHeight="1" s="11">
      <c r="A43" s="10" t="n">
        <v>9</v>
      </c>
      <c r="B43" s="10" t="n">
        <v>30</v>
      </c>
      <c r="C43" s="10" t="n">
        <v>189</v>
      </c>
      <c r="D43" s="10" t="n">
        <v>30</v>
      </c>
      <c r="E43" s="10" t="n">
        <v>30</v>
      </c>
      <c r="F43" s="10" t="n">
        <v>1</v>
      </c>
    </row>
    <row r="44" ht="15" customHeight="1" s="11">
      <c r="A44" s="10" t="n">
        <v>10</v>
      </c>
      <c r="B44" s="10" t="n">
        <v>30</v>
      </c>
      <c r="C44" s="10" t="n">
        <v>195</v>
      </c>
      <c r="D44" s="10" t="n">
        <v>33</v>
      </c>
      <c r="E44" s="10" t="n">
        <v>33</v>
      </c>
      <c r="F44" s="10" t="n">
        <v>1</v>
      </c>
    </row>
    <row r="45" ht="15" customHeight="1" s="11">
      <c r="A45" s="10" t="n">
        <v>11</v>
      </c>
      <c r="B45" s="10" t="n">
        <v>40</v>
      </c>
      <c r="C45" s="10" t="n">
        <v>199</v>
      </c>
      <c r="D45" s="10" t="n">
        <v>35</v>
      </c>
      <c r="E45" s="10" t="n">
        <v>35</v>
      </c>
      <c r="F45" s="10" t="n">
        <v>1</v>
      </c>
    </row>
    <row r="46" ht="15" customHeight="1" s="11">
      <c r="A46" s="10" t="n">
        <v>12</v>
      </c>
      <c r="B46" s="10" t="n">
        <v>105</v>
      </c>
      <c r="C46" s="10" t="n">
        <v>201</v>
      </c>
      <c r="D46" s="10" t="n">
        <v>37</v>
      </c>
      <c r="E46" s="10" t="n">
        <v>37</v>
      </c>
      <c r="F46" s="10" t="n">
        <v>1</v>
      </c>
    </row>
    <row r="47" ht="15" customHeight="1" s="11">
      <c r="A47" s="10" t="n">
        <v>13</v>
      </c>
      <c r="B47" s="10" t="n">
        <v>280</v>
      </c>
      <c r="C47" s="10" t="n">
        <v>203</v>
      </c>
      <c r="D47" s="10" t="n">
        <v>40</v>
      </c>
      <c r="E47" s="10" t="n">
        <v>40</v>
      </c>
      <c r="F47" s="10" t="n">
        <v>1</v>
      </c>
    </row>
    <row r="48" ht="15" customHeight="1" s="11">
      <c r="A48" s="10" t="n">
        <v>14</v>
      </c>
      <c r="B48" s="10" t="n">
        <v>450</v>
      </c>
      <c r="C48" s="10" t="n">
        <v>203</v>
      </c>
      <c r="D48" s="10" t="n">
        <v>42</v>
      </c>
      <c r="E48" s="10" t="n">
        <v>42</v>
      </c>
      <c r="F48" s="10" t="n">
        <v>1</v>
      </c>
    </row>
    <row r="49" ht="15" customHeight="1" s="11">
      <c r="A49" s="10" t="n">
        <v>15</v>
      </c>
      <c r="B49" s="10" t="n">
        <v>620</v>
      </c>
      <c r="C49" s="10" t="n">
        <v>203</v>
      </c>
      <c r="D49" s="10" t="n">
        <v>44</v>
      </c>
      <c r="E49" s="10" t="n">
        <v>45</v>
      </c>
      <c r="F49" s="10" t="n">
        <v>1</v>
      </c>
    </row>
    <row r="50" ht="15" customHeight="1" s="11">
      <c r="A50" s="10" t="n">
        <v>16</v>
      </c>
      <c r="B50" s="10" t="n">
        <v>790</v>
      </c>
      <c r="C50" s="10" t="n">
        <v>203</v>
      </c>
      <c r="D50" s="10" t="n">
        <v>46</v>
      </c>
      <c r="E50" s="10" t="n">
        <v>47</v>
      </c>
      <c r="F50" s="10" t="n">
        <v>1</v>
      </c>
    </row>
    <row r="51" ht="15" customHeight="1" s="11">
      <c r="A51" s="10" t="n">
        <v>17</v>
      </c>
      <c r="B51" s="10" t="n">
        <v>960</v>
      </c>
      <c r="C51" s="10" t="n">
        <v>203</v>
      </c>
      <c r="D51" s="10" t="n">
        <v>48</v>
      </c>
      <c r="E51" s="10" t="n">
        <v>49</v>
      </c>
      <c r="F51" s="10" t="n">
        <v>1</v>
      </c>
    </row>
    <row r="52" ht="15" customHeight="1" s="11">
      <c r="A52" s="10" t="n">
        <v>18</v>
      </c>
      <c r="B52" s="10" t="n">
        <v>1110</v>
      </c>
      <c r="C52" s="10" t="n">
        <v>203</v>
      </c>
      <c r="D52" s="10" t="n">
        <v>50</v>
      </c>
      <c r="E52" s="10" t="n">
        <v>51</v>
      </c>
      <c r="F52" s="10" t="n">
        <v>1</v>
      </c>
    </row>
    <row r="53" ht="15" customHeight="1" s="11">
      <c r="A53" s="10" t="n">
        <v>19</v>
      </c>
      <c r="B53" s="10" t="n">
        <v>1185</v>
      </c>
      <c r="C53" s="10" t="n">
        <v>203</v>
      </c>
      <c r="D53" s="10" t="n">
        <v>52</v>
      </c>
      <c r="E53" s="10" t="n">
        <v>53</v>
      </c>
      <c r="F53" s="10" t="n">
        <v>1</v>
      </c>
    </row>
    <row r="54" ht="15" customHeight="1" s="11">
      <c r="A54" s="10" t="n">
        <v>20</v>
      </c>
      <c r="B54" s="10" t="n">
        <v>1150</v>
      </c>
      <c r="C54" s="10" t="n">
        <v>205</v>
      </c>
      <c r="D54" s="10" t="n">
        <v>54</v>
      </c>
      <c r="E54" s="10" t="n">
        <v>55</v>
      </c>
      <c r="F54" s="10" t="n">
        <v>1</v>
      </c>
    </row>
    <row r="55" ht="15" customHeight="1" s="11">
      <c r="A55" s="10" t="n">
        <v>21</v>
      </c>
      <c r="B55" s="10" t="n">
        <v>30</v>
      </c>
      <c r="C55" s="10" t="n">
        <v>237</v>
      </c>
      <c r="D55" s="10" t="n">
        <v>55</v>
      </c>
      <c r="E55" s="10" t="n">
        <v>58</v>
      </c>
      <c r="F55" s="10" t="n">
        <v>2</v>
      </c>
    </row>
    <row r="56" ht="15" customHeight="1" s="11">
      <c r="A56" s="10" t="n">
        <v>22</v>
      </c>
      <c r="B56" s="10" t="n">
        <v>30</v>
      </c>
      <c r="C56" s="10" t="n">
        <v>244</v>
      </c>
      <c r="D56" s="10" t="n">
        <v>57</v>
      </c>
      <c r="E56" s="10" t="n">
        <v>62</v>
      </c>
      <c r="F56" s="10" t="n">
        <v>2</v>
      </c>
    </row>
    <row r="57" ht="15" customHeight="1" s="11">
      <c r="A57" s="10" t="n">
        <v>23</v>
      </c>
      <c r="B57" s="10" t="n">
        <v>20</v>
      </c>
      <c r="C57" s="10" t="n">
        <v>251</v>
      </c>
      <c r="D57" s="10" t="n">
        <v>58</v>
      </c>
      <c r="E57" s="10" t="n">
        <v>66</v>
      </c>
      <c r="F57" s="10" t="n">
        <v>2</v>
      </c>
    </row>
    <row r="58" ht="15" customHeight="1" s="11">
      <c r="A58" s="10" t="n">
        <v>24</v>
      </c>
      <c r="B58" s="10" t="n">
        <v>20</v>
      </c>
      <c r="C58" s="10" t="n">
        <v>259</v>
      </c>
      <c r="D58" s="10" t="n">
        <v>60</v>
      </c>
      <c r="E58" s="10" t="n">
        <v>69</v>
      </c>
      <c r="F58" s="10" t="n">
        <v>2</v>
      </c>
    </row>
    <row r="59" ht="15" customHeight="1" s="11">
      <c r="A59" s="10" t="n">
        <v>25</v>
      </c>
      <c r="B59" s="10" t="n">
        <v>30</v>
      </c>
      <c r="C59" s="10" t="n">
        <v>265</v>
      </c>
      <c r="D59" s="10" t="n">
        <v>61</v>
      </c>
      <c r="E59" s="10" t="n">
        <v>71</v>
      </c>
      <c r="F59" s="10" t="n">
        <v>2</v>
      </c>
    </row>
    <row r="60" ht="15" customHeight="1" s="11">
      <c r="A60" s="10" t="n">
        <v>26</v>
      </c>
      <c r="B60" s="10" t="n">
        <v>30</v>
      </c>
      <c r="C60" s="10" t="n">
        <v>273</v>
      </c>
      <c r="D60" s="10" t="n">
        <v>62.5</v>
      </c>
      <c r="E60" s="10" t="n">
        <v>73</v>
      </c>
      <c r="F60" s="10" t="n">
        <v>2</v>
      </c>
    </row>
    <row r="61" ht="15" customHeight="1" s="11">
      <c r="A61" s="10" t="n">
        <v>27</v>
      </c>
      <c r="B61" s="10" t="n">
        <v>30</v>
      </c>
      <c r="C61" s="10" t="n">
        <v>279</v>
      </c>
      <c r="D61" s="10" t="n">
        <v>64</v>
      </c>
      <c r="E61" s="10" t="n">
        <v>76</v>
      </c>
      <c r="F61" s="10" t="n">
        <v>2</v>
      </c>
    </row>
    <row r="62" ht="15" customHeight="1" s="11">
      <c r="A62" s="10" t="n">
        <v>28</v>
      </c>
      <c r="B62" s="10" t="n">
        <v>70</v>
      </c>
      <c r="C62" s="10" t="n">
        <v>281</v>
      </c>
      <c r="D62" s="10" t="n">
        <v>65</v>
      </c>
      <c r="E62" s="10" t="n">
        <v>77</v>
      </c>
      <c r="F62" s="10" t="n">
        <v>2</v>
      </c>
    </row>
    <row r="63" ht="15" customHeight="1" s="11">
      <c r="A63" s="10" t="n">
        <v>29</v>
      </c>
      <c r="B63" s="10" t="n">
        <v>280</v>
      </c>
      <c r="C63" s="10" t="n">
        <v>283</v>
      </c>
      <c r="D63" s="10" t="n">
        <v>66</v>
      </c>
      <c r="E63" s="10" t="n">
        <v>79</v>
      </c>
      <c r="F63" s="10" t="n">
        <v>2</v>
      </c>
    </row>
    <row r="64" ht="15" customHeight="1" s="11">
      <c r="A64" s="10" t="n">
        <v>30</v>
      </c>
      <c r="B64" s="10" t="n">
        <v>460</v>
      </c>
      <c r="C64" s="10" t="n">
        <v>283</v>
      </c>
      <c r="D64" s="10" t="n">
        <v>67</v>
      </c>
      <c r="E64" s="10" t="n">
        <v>83</v>
      </c>
      <c r="F64" s="10" t="n">
        <v>2</v>
      </c>
    </row>
    <row r="65" ht="15" customHeight="1" s="11">
      <c r="A65" s="10" t="n">
        <v>31</v>
      </c>
      <c r="B65" s="10" t="n">
        <v>655</v>
      </c>
      <c r="C65" s="10" t="n">
        <v>283</v>
      </c>
      <c r="D65" s="10" t="n">
        <v>68</v>
      </c>
      <c r="E65" s="10" t="n">
        <v>86</v>
      </c>
      <c r="F65" s="10" t="n">
        <v>2</v>
      </c>
    </row>
    <row r="66" ht="15" customHeight="1" s="11">
      <c r="A66" s="10" t="n">
        <v>32</v>
      </c>
      <c r="B66" s="10" t="n">
        <v>840</v>
      </c>
      <c r="C66" s="10" t="n">
        <v>283</v>
      </c>
      <c r="D66" s="10" t="n">
        <v>69</v>
      </c>
      <c r="E66" s="10" t="n">
        <v>87</v>
      </c>
      <c r="F66" s="10" t="n">
        <v>2</v>
      </c>
    </row>
    <row r="67" ht="15" customHeight="1" s="11">
      <c r="A67" s="10" t="n">
        <v>33</v>
      </c>
      <c r="B67" s="10" t="n">
        <v>1035</v>
      </c>
      <c r="C67" s="10" t="n">
        <v>283</v>
      </c>
      <c r="D67" s="10" t="n">
        <v>70</v>
      </c>
      <c r="E67" s="10" t="n">
        <v>90</v>
      </c>
      <c r="F67" s="10" t="n">
        <v>2</v>
      </c>
    </row>
    <row r="68" ht="15" customHeight="1" s="11">
      <c r="A68" s="10" t="n">
        <v>34</v>
      </c>
      <c r="B68" s="10" t="n">
        <v>1250</v>
      </c>
      <c r="C68" s="10" t="n">
        <v>283</v>
      </c>
      <c r="D68" s="10" t="n">
        <v>72</v>
      </c>
      <c r="E68" s="10" t="n">
        <v>93</v>
      </c>
      <c r="F68" s="10" t="n">
        <v>2</v>
      </c>
    </row>
    <row r="69" ht="15" customHeight="1" s="11">
      <c r="A69" s="10" t="n">
        <v>35</v>
      </c>
      <c r="B69" s="10" t="n">
        <v>1455</v>
      </c>
      <c r="C69" s="10" t="n">
        <v>283</v>
      </c>
      <c r="D69" s="10" t="n">
        <v>73</v>
      </c>
      <c r="E69" s="10" t="n">
        <v>95</v>
      </c>
      <c r="F69" s="10" t="n">
        <v>2</v>
      </c>
    </row>
    <row r="70" ht="15" customHeight="1" s="11">
      <c r="A70" s="10" t="n">
        <v>36</v>
      </c>
      <c r="B70" s="10" t="n">
        <v>1655</v>
      </c>
      <c r="C70" s="10" t="n">
        <v>283</v>
      </c>
      <c r="D70" s="10" t="n">
        <v>74</v>
      </c>
      <c r="E70" s="10" t="n">
        <v>99</v>
      </c>
      <c r="F70" s="10" t="n">
        <v>2</v>
      </c>
    </row>
    <row r="71" ht="15" customHeight="1" s="11">
      <c r="A71" s="10" t="n">
        <v>37</v>
      </c>
      <c r="B71" s="10" t="n">
        <v>1870</v>
      </c>
      <c r="C71" s="10" t="n">
        <v>283</v>
      </c>
      <c r="D71" s="10" t="n">
        <v>75</v>
      </c>
      <c r="E71" s="10" t="n">
        <v>103</v>
      </c>
      <c r="F71" s="10" t="n">
        <v>2</v>
      </c>
    </row>
    <row r="72" ht="15" customHeight="1" s="11">
      <c r="A72" s="10" t="n">
        <v>38</v>
      </c>
      <c r="B72" s="10" t="n">
        <v>2040</v>
      </c>
      <c r="C72" s="10" t="n">
        <v>283</v>
      </c>
      <c r="D72" s="10" t="n">
        <v>75.5</v>
      </c>
      <c r="E72" s="10" t="n">
        <v>105</v>
      </c>
      <c r="F72" s="10" t="n">
        <v>2</v>
      </c>
    </row>
    <row r="73" ht="15" customHeight="1" s="11">
      <c r="A73" s="10" t="n">
        <v>39</v>
      </c>
      <c r="B73" s="10" t="n">
        <v>2230</v>
      </c>
      <c r="C73" s="10" t="n">
        <v>283</v>
      </c>
      <c r="D73" s="10" t="n">
        <v>76</v>
      </c>
      <c r="E73" s="10" t="n">
        <v>107</v>
      </c>
      <c r="F73" s="10" t="n">
        <v>2</v>
      </c>
    </row>
    <row r="74" ht="15" customHeight="1" s="11">
      <c r="A74" s="10" t="n">
        <v>40</v>
      </c>
      <c r="B74" s="10" t="n">
        <v>2360</v>
      </c>
      <c r="C74" s="10" t="n">
        <v>285</v>
      </c>
      <c r="D74" s="10" t="n">
        <v>77</v>
      </c>
      <c r="E74" s="10" t="n">
        <v>110</v>
      </c>
      <c r="F74" s="10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0" min="1" max="1"/>
    <col width="18" customWidth="1" style="10" min="2" max="3"/>
    <col width="10" customWidth="1" style="10" min="4" max="4"/>
    <col width="16" customWidth="1" style="10" min="5" max="5"/>
    <col width="8" customWidth="1" style="10" min="6" max="6"/>
    <col width="7" customWidth="1" style="10" min="7" max="7"/>
    <col width="12" customWidth="1" style="10" min="8" max="8"/>
    <col width="40" customWidth="1" style="10" min="9" max="9"/>
    <col width="20" customWidth="1" style="10" min="10" max="10"/>
  </cols>
  <sheetData>
    <row r="1" ht="17.15" customHeight="1" s="11">
      <c r="A1" s="14" t="inlineStr">
        <is>
          <t>하루 수입(포인트)</t>
        </is>
      </c>
      <c r="B1" s="13">
        <f>'포인트 경제'!B12</f>
        <v/>
      </c>
    </row>
    <row r="3" ht="15" customHeight="1" s="11">
      <c r="A3" s="20" t="inlineStr">
        <is>
          <t>id</t>
        </is>
      </c>
      <c r="B3" s="18" t="inlineStr">
        <is>
          <t>이름</t>
        </is>
      </c>
      <c r="C3" s="18" t="inlineStr">
        <is>
          <t>방</t>
        </is>
      </c>
      <c r="D3" s="18" t="inlineStr">
        <is>
          <t>분류</t>
        </is>
      </c>
      <c r="E3" s="18" t="inlineStr">
        <is>
          <t>등급</t>
        </is>
      </c>
      <c r="F3" s="18" t="inlineStr">
        <is>
          <t>가격</t>
        </is>
      </c>
      <c r="G3" s="18" t="inlineStr">
        <is>
          <t>코지</t>
        </is>
      </c>
      <c r="H3" s="18" t="inlineStr">
        <is>
          <t>며칠 모으면</t>
        </is>
      </c>
      <c r="I3" s="18" t="inlineStr">
        <is>
          <t>플래그</t>
        </is>
      </c>
      <c r="J3" s="18" t="inlineStr">
        <is>
          <t>파일</t>
        </is>
      </c>
    </row>
    <row r="4" ht="17.15" customHeight="1" s="11">
      <c r="A4" s="10" t="inlineStr">
        <is>
          <t>cattower</t>
        </is>
      </c>
      <c r="B4" s="14" t="inlineStr">
        <is>
          <t>캣타워</t>
        </is>
      </c>
      <c r="C4" s="10" t="inlineStr">
        <is>
          <t>moon_bedroom</t>
        </is>
      </c>
      <c r="D4" s="14" t="inlineStr">
        <is>
          <t>가구</t>
        </is>
      </c>
      <c r="E4" s="14" t="inlineStr">
        <is>
          <t>큰/테마 대표 가구</t>
        </is>
      </c>
      <c r="F4" s="10" t="n">
        <v>600</v>
      </c>
      <c r="G4" s="10" t="n">
        <v>25</v>
      </c>
      <c r="H4" s="10">
        <f>IF(F4=0,"기본 지급",ROUND(F4/$B$1,1))</f>
        <v/>
      </c>
      <c r="I4" s="10" t="n"/>
      <c r="J4" s="10" t="inlineStr">
        <is>
          <t>room-assets-v6</t>
        </is>
      </c>
    </row>
    <row r="5" ht="15" customHeight="1" s="11">
      <c r="A5" s="10" t="inlineStr">
        <is>
          <t>catbed</t>
        </is>
      </c>
      <c r="B5" s="14" t="inlineStr">
        <is>
          <t>동글 쿠션 침대</t>
        </is>
      </c>
      <c r="C5" s="10" t="inlineStr">
        <is>
          <t>moon_bedroom</t>
        </is>
      </c>
      <c r="D5" s="14" t="inlineStr">
        <is>
          <t>가구</t>
        </is>
      </c>
      <c r="E5" s="14" t="inlineStr">
        <is>
          <t>일반 가구</t>
        </is>
      </c>
      <c r="F5" s="10" t="n">
        <v>300</v>
      </c>
      <c r="G5" s="10" t="n">
        <v>10</v>
      </c>
      <c r="H5" s="10">
        <f>IF(F5=0,"기본 지급",ROUND(F5/$B$1,1))</f>
        <v/>
      </c>
      <c r="I5" s="10" t="inlineStr">
        <is>
          <t>starterPlaced</t>
        </is>
      </c>
      <c r="J5" s="10" t="inlineStr">
        <is>
          <t>room-assets-v6</t>
        </is>
      </c>
    </row>
    <row r="6" ht="15" customHeight="1" s="11">
      <c r="A6" s="10" t="inlineStr">
        <is>
          <t>floorlamp</t>
        </is>
      </c>
      <c r="B6" s="14" t="inlineStr">
        <is>
          <t>플로어 램프</t>
        </is>
      </c>
      <c r="C6" s="10" t="inlineStr">
        <is>
          <t>moon_bedroom</t>
        </is>
      </c>
      <c r="D6" s="14" t="inlineStr">
        <is>
          <t>가구</t>
        </is>
      </c>
      <c r="E6" s="14" t="inlineStr">
        <is>
          <t>일반 가구</t>
        </is>
      </c>
      <c r="F6" s="10" t="n">
        <v>220</v>
      </c>
      <c r="G6" s="10" t="n">
        <v>10</v>
      </c>
      <c r="H6" s="10">
        <f>IF(F6=0,"기본 지급",ROUND(F6/$B$1,1))</f>
        <v/>
      </c>
      <c r="I6" s="10" t="inlineStr">
        <is>
          <t>starterPlaced</t>
        </is>
      </c>
      <c r="J6" s="10" t="inlineStr">
        <is>
          <t>room-assets-v6</t>
        </is>
      </c>
    </row>
    <row r="7" ht="15" customHeight="1" s="11">
      <c r="A7" s="10" t="inlineStr">
        <is>
          <t>cabinet</t>
        </is>
      </c>
      <c r="B7" s="14" t="inlineStr">
        <is>
          <t>발바닥 서랍장</t>
        </is>
      </c>
      <c r="C7" s="10" t="inlineStr">
        <is>
          <t>moon_bedroom</t>
        </is>
      </c>
      <c r="D7" s="14" t="inlineStr">
        <is>
          <t>가구</t>
        </is>
      </c>
      <c r="E7" s="14" t="inlineStr">
        <is>
          <t>일반 가구</t>
        </is>
      </c>
      <c r="F7" s="10" t="n">
        <v>260</v>
      </c>
      <c r="G7" s="10" t="n">
        <v>10</v>
      </c>
      <c r="H7" s="10">
        <f>IF(F7=0,"기본 지급",ROUND(F7/$B$1,1))</f>
        <v/>
      </c>
      <c r="J7" s="10" t="inlineStr">
        <is>
          <t>room-assets-v6</t>
        </is>
      </c>
    </row>
    <row r="8" ht="17.15" customHeight="1" s="11">
      <c r="A8" s="10" t="inlineStr">
        <is>
          <t>sofa</t>
        </is>
      </c>
      <c r="B8" s="14" t="inlineStr">
        <is>
          <t>핑크 소파</t>
        </is>
      </c>
      <c r="C8" s="10" t="inlineStr">
        <is>
          <t>moon_bedroom</t>
        </is>
      </c>
      <c r="D8" s="14" t="inlineStr">
        <is>
          <t>가구</t>
        </is>
      </c>
      <c r="E8" s="14" t="inlineStr">
        <is>
          <t>큰/테마 대표 가구</t>
        </is>
      </c>
      <c r="F8" s="10" t="n">
        <v>650</v>
      </c>
      <c r="G8" s="10" t="n">
        <v>25</v>
      </c>
      <c r="H8" s="10">
        <f>IF(F8=0,"기본 지급",ROUND(F8/$B$1,1))</f>
        <v/>
      </c>
      <c r="J8" s="10" t="inlineStr">
        <is>
          <t>room-assets-v6</t>
        </is>
      </c>
    </row>
    <row r="9" ht="15" customHeight="1" s="11">
      <c r="A9" s="10" t="inlineStr">
        <is>
          <t>scratcher</t>
        </is>
      </c>
      <c r="B9" s="14" t="inlineStr">
        <is>
          <t>스크래처 언덕</t>
        </is>
      </c>
      <c r="C9" s="10" t="inlineStr">
        <is>
          <t>moon_bedroom</t>
        </is>
      </c>
      <c r="D9" s="14" t="inlineStr">
        <is>
          <t>가구</t>
        </is>
      </c>
      <c r="E9" s="14" t="inlineStr">
        <is>
          <t>일반 가구</t>
        </is>
      </c>
      <c r="F9" s="10" t="n">
        <v>220</v>
      </c>
      <c r="G9" s="10" t="n">
        <v>10</v>
      </c>
      <c r="H9" s="10">
        <f>IF(F9=0,"기본 지급",ROUND(F9/$B$1,1))</f>
        <v/>
      </c>
      <c r="J9" s="10" t="inlineStr">
        <is>
          <t>room-assets-v6</t>
        </is>
      </c>
    </row>
    <row r="10" ht="15" customHeight="1" s="11">
      <c r="A10" s="10" t="inlineStr">
        <is>
          <t>bookshelf</t>
        </is>
      </c>
      <c r="B10" s="14" t="inlineStr">
        <is>
          <t>민트 책장</t>
        </is>
      </c>
      <c r="C10" s="10" t="inlineStr">
        <is>
          <t>moon_bedroom</t>
        </is>
      </c>
      <c r="D10" s="14" t="inlineStr">
        <is>
          <t>가구</t>
        </is>
      </c>
      <c r="E10" s="14" t="inlineStr">
        <is>
          <t>일반 가구</t>
        </is>
      </c>
      <c r="F10" s="10" t="n">
        <v>320</v>
      </c>
      <c r="G10" s="10" t="n">
        <v>10</v>
      </c>
      <c r="H10" s="10">
        <f>IF(F10=0,"기본 지급",ROUND(F10/$B$1,1))</f>
        <v/>
      </c>
      <c r="J10" s="10" t="inlineStr">
        <is>
          <t>room-assets-v6</t>
        </is>
      </c>
    </row>
    <row r="11" ht="15" customHeight="1" s="11">
      <c r="A11" s="10" t="inlineStr">
        <is>
          <t>tent</t>
        </is>
      </c>
      <c r="B11" s="14" t="inlineStr">
        <is>
          <t>냥귀 숨숨집</t>
        </is>
      </c>
      <c r="C11" s="10" t="inlineStr">
        <is>
          <t>moon_bedroom</t>
        </is>
      </c>
      <c r="D11" s="14" t="inlineStr">
        <is>
          <t>가구</t>
        </is>
      </c>
      <c r="E11" s="14" t="inlineStr">
        <is>
          <t>일반 가구</t>
        </is>
      </c>
      <c r="F11" s="10" t="n">
        <v>380</v>
      </c>
      <c r="G11" s="10" t="n">
        <v>10</v>
      </c>
      <c r="H11" s="10">
        <f>IF(F11=0,"기본 지급",ROUND(F11/$B$1,1))</f>
        <v/>
      </c>
      <c r="J11" s="10" t="inlineStr">
        <is>
          <t>room-assets-v6</t>
        </is>
      </c>
    </row>
    <row r="12" ht="15" customHeight="1" s="11">
      <c r="A12" s="10" t="inlineStr">
        <is>
          <t>teatable</t>
        </is>
      </c>
      <c r="B12" s="14" t="inlineStr">
        <is>
          <t>꽃병 티 테이블</t>
        </is>
      </c>
      <c r="C12" s="10" t="inlineStr">
        <is>
          <t>moon_bedroom</t>
        </is>
      </c>
      <c r="D12" s="14" t="inlineStr">
        <is>
          <t>가구</t>
        </is>
      </c>
      <c r="E12" s="14" t="inlineStr">
        <is>
          <t>일반 가구</t>
        </is>
      </c>
      <c r="F12" s="10" t="n">
        <v>240</v>
      </c>
      <c r="G12" s="10" t="n">
        <v>10</v>
      </c>
      <c r="H12" s="10">
        <f>IF(F12=0,"기본 지급",ROUND(F12/$B$1,1))</f>
        <v/>
      </c>
      <c r="J12" s="10" t="inlineStr">
        <is>
          <t>room-assets-v6</t>
        </is>
      </c>
    </row>
    <row r="13" ht="15" customHeight="1" s="11">
      <c r="A13" s="10" t="inlineStr">
        <is>
          <t>desk</t>
        </is>
      </c>
      <c r="B13" s="14" t="inlineStr">
        <is>
          <t>노트북 책상</t>
        </is>
      </c>
      <c r="C13" s="10" t="inlineStr">
        <is>
          <t>moon_bedroom</t>
        </is>
      </c>
      <c r="D13" s="14" t="inlineStr">
        <is>
          <t>가구</t>
        </is>
      </c>
      <c r="E13" s="14" t="inlineStr">
        <is>
          <t>일반 가구</t>
        </is>
      </c>
      <c r="F13" s="10" t="n">
        <v>300</v>
      </c>
      <c r="G13" s="10" t="n">
        <v>10</v>
      </c>
      <c r="H13" s="10">
        <f>IF(F13=0,"기본 지급",ROUND(F13/$B$1,1))</f>
        <v/>
      </c>
      <c r="J13" s="10" t="inlineStr">
        <is>
          <t>room-assets-v6</t>
        </is>
      </c>
    </row>
    <row r="14" ht="15" customHeight="1" s="11">
      <c r="A14" s="10" t="inlineStr">
        <is>
          <t>beanbag</t>
        </is>
      </c>
      <c r="B14" s="14" t="inlineStr">
        <is>
          <t>빈백</t>
        </is>
      </c>
      <c r="C14" s="10" t="inlineStr">
        <is>
          <t>moon_bedroom</t>
        </is>
      </c>
      <c r="D14" s="14" t="inlineStr">
        <is>
          <t>가구</t>
        </is>
      </c>
      <c r="E14" s="14" t="inlineStr">
        <is>
          <t>일반 가구</t>
        </is>
      </c>
      <c r="F14" s="10" t="n">
        <v>260</v>
      </c>
      <c r="G14" s="10" t="n">
        <v>10</v>
      </c>
      <c r="H14" s="10">
        <f>IF(F14=0,"기본 지급",ROUND(F14/$B$1,1))</f>
        <v/>
      </c>
      <c r="J14" s="10" t="inlineStr">
        <is>
          <t>room-assets-v6</t>
        </is>
      </c>
    </row>
    <row r="15" ht="15" customHeight="1" s="11">
      <c r="A15" s="10" t="inlineStr">
        <is>
          <t>radioclock</t>
        </is>
      </c>
      <c r="B15" s="14" t="inlineStr">
        <is>
          <t>냥이 라디오 시계</t>
        </is>
      </c>
      <c r="C15" s="10" t="inlineStr">
        <is>
          <t>moon_bedroom</t>
        </is>
      </c>
      <c r="D15" s="14" t="inlineStr">
        <is>
          <t>가구</t>
        </is>
      </c>
      <c r="E15" s="14" t="inlineStr">
        <is>
          <t>일반 가구</t>
        </is>
      </c>
      <c r="F15" s="10" t="n">
        <v>280</v>
      </c>
      <c r="G15" s="10" t="n">
        <v>10</v>
      </c>
      <c r="H15" s="10">
        <f>IF(F15=0,"기본 지급",ROUND(F15/$B$1,1))</f>
        <v/>
      </c>
      <c r="J15" s="10" t="inlineStr">
        <is>
          <t>room-assets-v6</t>
        </is>
      </c>
    </row>
    <row r="16" ht="17.15" customHeight="1" s="11">
      <c r="A16" s="10" t="inlineStr">
        <is>
          <t>bed</t>
        </is>
      </c>
      <c r="B16" s="14" t="inlineStr">
        <is>
          <t>퀼트 침대</t>
        </is>
      </c>
      <c r="C16" s="10" t="inlineStr">
        <is>
          <t>moon_bedroom</t>
        </is>
      </c>
      <c r="D16" s="14" t="inlineStr">
        <is>
          <t>가구</t>
        </is>
      </c>
      <c r="E16" s="14" t="inlineStr">
        <is>
          <t>큰/테마 대표 가구</t>
        </is>
      </c>
      <c r="F16" s="10" t="n">
        <v>700</v>
      </c>
      <c r="G16" s="10" t="n">
        <v>25</v>
      </c>
      <c r="H16" s="10">
        <f>IF(F16=0,"기본 지급",ROUND(F16/$B$1,1))</f>
        <v/>
      </c>
      <c r="J16" s="10" t="inlineStr">
        <is>
          <t>room-assets-v6</t>
        </is>
      </c>
    </row>
    <row r="17" ht="15" customHeight="1" s="11">
      <c r="A17" s="10" t="inlineStr">
        <is>
          <t>fridge</t>
        </is>
      </c>
      <c r="B17" s="14" t="inlineStr">
        <is>
          <t>민트 냉장고</t>
        </is>
      </c>
      <c r="C17" s="10" t="inlineStr">
        <is>
          <t>moon_bedroom</t>
        </is>
      </c>
      <c r="D17" s="14" t="inlineStr">
        <is>
          <t>가구</t>
        </is>
      </c>
      <c r="E17" s="14" t="inlineStr">
        <is>
          <t>일반 가구</t>
        </is>
      </c>
      <c r="F17" s="10" t="n">
        <v>340</v>
      </c>
      <c r="G17" s="10" t="n">
        <v>10</v>
      </c>
      <c r="H17" s="10">
        <f>IF(F17=0,"기본 지급",ROUND(F17/$B$1,1))</f>
        <v/>
      </c>
      <c r="J17" s="10" t="inlineStr">
        <is>
          <t>room-assets-v6</t>
        </is>
      </c>
    </row>
    <row r="18" ht="15" customHeight="1" s="11">
      <c r="A18" s="10" t="inlineStr">
        <is>
          <t>feeder</t>
        </is>
      </c>
      <c r="B18" s="14" t="inlineStr">
        <is>
          <t>물고기 급식대</t>
        </is>
      </c>
      <c r="C18" s="10" t="inlineStr">
        <is>
          <t>moon_bedroom</t>
        </is>
      </c>
      <c r="D18" s="14" t="inlineStr">
        <is>
          <t>가구</t>
        </is>
      </c>
      <c r="E18" s="14" t="inlineStr">
        <is>
          <t>일반 가구</t>
        </is>
      </c>
      <c r="F18" s="10" t="n">
        <v>200</v>
      </c>
      <c r="G18" s="10" t="n">
        <v>10</v>
      </c>
      <c r="H18" s="10">
        <f>IF(F18=0,"기본 지급",ROUND(F18/$B$1,1))</f>
        <v/>
      </c>
      <c r="J18" s="10" t="inlineStr">
        <is>
          <t>room-assets-v6</t>
        </is>
      </c>
    </row>
    <row r="19" ht="15" customHeight="1" s="11">
      <c r="A19" s="10" t="inlineStr">
        <is>
          <t>catchair</t>
        </is>
      </c>
      <c r="B19" s="14" t="inlineStr">
        <is>
          <t>냥귀 안락의자</t>
        </is>
      </c>
      <c r="C19" s="10" t="inlineStr">
        <is>
          <t>moon_bedroom</t>
        </is>
      </c>
      <c r="D19" s="14" t="inlineStr">
        <is>
          <t>가구</t>
        </is>
      </c>
      <c r="E19" s="14" t="inlineStr">
        <is>
          <t>일반 가구</t>
        </is>
      </c>
      <c r="F19" s="10" t="n">
        <v>280</v>
      </c>
      <c r="G19" s="10" t="n">
        <v>10</v>
      </c>
      <c r="H19" s="10">
        <f>IF(F19=0,"기본 지급",ROUND(F19/$B$1,1))</f>
        <v/>
      </c>
      <c r="J19" s="10" t="inlineStr">
        <is>
          <t>room-assets-v6</t>
        </is>
      </c>
    </row>
    <row r="20" ht="15" customHeight="1" s="11">
      <c r="A20" s="10" t="inlineStr">
        <is>
          <t>plant</t>
        </is>
      </c>
      <c r="B20" s="14" t="inlineStr">
        <is>
          <t>발바닥 화분</t>
        </is>
      </c>
      <c r="C20" s="10" t="inlineStr">
        <is>
          <t>moon_bedroom</t>
        </is>
      </c>
      <c r="D20" s="14" t="inlineStr">
        <is>
          <t>소품</t>
        </is>
      </c>
      <c r="E20" s="14" t="inlineStr">
        <is>
          <t>작은 소품</t>
        </is>
      </c>
      <c r="F20" s="10" t="n">
        <v>90</v>
      </c>
      <c r="G20" s="10" t="n">
        <v>4</v>
      </c>
      <c r="H20" s="10">
        <f>IF(F20=0,"기본 지급",ROUND(F20/$B$1,1))</f>
        <v/>
      </c>
      <c r="I20" s="10" t="inlineStr">
        <is>
          <t>starterPlaced</t>
        </is>
      </c>
      <c r="J20" s="10" t="inlineStr">
        <is>
          <t>room-assets-v6</t>
        </is>
      </c>
    </row>
    <row r="21" ht="15" customHeight="1" s="11">
      <c r="A21" s="10" t="inlineStr">
        <is>
          <t>monstera</t>
        </is>
      </c>
      <c r="B21" s="14" t="inlineStr">
        <is>
          <t>몬스테라</t>
        </is>
      </c>
      <c r="C21" s="10" t="inlineStr">
        <is>
          <t>moon_bedroom</t>
        </is>
      </c>
      <c r="D21" s="14" t="inlineStr">
        <is>
          <t>소품</t>
        </is>
      </c>
      <c r="E21" s="14" t="inlineStr">
        <is>
          <t>작은 소품</t>
        </is>
      </c>
      <c r="F21" s="10" t="n">
        <v>130</v>
      </c>
      <c r="G21" s="10" t="n">
        <v>4</v>
      </c>
      <c r="H21" s="10">
        <f>IF(F21=0,"기본 지급",ROUND(F21/$B$1,1))</f>
        <v/>
      </c>
      <c r="J21" s="10" t="inlineStr">
        <is>
          <t>room-assets-v6</t>
        </is>
      </c>
    </row>
    <row r="22" ht="15" customHeight="1" s="11">
      <c r="A22" s="10" t="inlineStr">
        <is>
          <t>fishbowl</t>
        </is>
      </c>
      <c r="B22" s="14" t="inlineStr">
        <is>
          <t>금붕어 어항</t>
        </is>
      </c>
      <c r="C22" s="10" t="inlineStr">
        <is>
          <t>moon_bedroom</t>
        </is>
      </c>
      <c r="D22" s="14" t="inlineStr">
        <is>
          <t>소품</t>
        </is>
      </c>
      <c r="E22" s="14" t="inlineStr">
        <is>
          <t>작은 소품</t>
        </is>
      </c>
      <c r="F22" s="10" t="n">
        <v>120</v>
      </c>
      <c r="G22" s="10" t="n">
        <v>4</v>
      </c>
      <c r="H22" s="10">
        <f>IF(F22=0,"기본 지급",ROUND(F22/$B$1,1))</f>
        <v/>
      </c>
      <c r="I22" s="10" t="n"/>
      <c r="J22" s="10" t="inlineStr">
        <is>
          <t>room-assets-v6</t>
        </is>
      </c>
    </row>
    <row r="23" ht="15" customHeight="1" s="11">
      <c r="A23" s="10" t="inlineStr">
        <is>
          <t>moonlamp</t>
        </is>
      </c>
      <c r="B23" s="14" t="inlineStr">
        <is>
          <t>달 무드등</t>
        </is>
      </c>
      <c r="C23" s="10" t="inlineStr">
        <is>
          <t>moon_bedroom</t>
        </is>
      </c>
      <c r="D23" s="14" t="inlineStr">
        <is>
          <t>소품</t>
        </is>
      </c>
      <c r="E23" s="14" t="inlineStr">
        <is>
          <t>작은 소품</t>
        </is>
      </c>
      <c r="F23" s="10" t="n">
        <v>140</v>
      </c>
      <c r="G23" s="10" t="n">
        <v>4</v>
      </c>
      <c r="H23" s="10">
        <f>IF(F23=0,"기본 지급",ROUND(F23/$B$1,1))</f>
        <v/>
      </c>
      <c r="J23" s="10" t="inlineStr">
        <is>
          <t>room-assets-v6</t>
        </is>
      </c>
    </row>
    <row r="24" ht="15" customHeight="1" s="11">
      <c r="A24" s="10" t="inlineStr">
        <is>
          <t>yarnbasket</t>
        </is>
      </c>
      <c r="B24" s="14" t="inlineStr">
        <is>
          <t>털실 바구니</t>
        </is>
      </c>
      <c r="C24" s="10" t="inlineStr">
        <is>
          <t>moon_bedroom</t>
        </is>
      </c>
      <c r="D24" s="14" t="inlineStr">
        <is>
          <t>소품</t>
        </is>
      </c>
      <c r="E24" s="14" t="inlineStr">
        <is>
          <t>작은 소품</t>
        </is>
      </c>
      <c r="F24" s="10" t="n">
        <v>90</v>
      </c>
      <c r="G24" s="10" t="n">
        <v>4</v>
      </c>
      <c r="H24" s="10">
        <f>IF(F24=0,"기본 지급",ROUND(F24/$B$1,1))</f>
        <v/>
      </c>
      <c r="I24" s="10" t="inlineStr">
        <is>
          <t>starterDrawer</t>
        </is>
      </c>
      <c r="J24" s="10" t="inlineStr">
        <is>
          <t>room-assets-v6</t>
        </is>
      </c>
    </row>
    <row r="25" ht="15" customHeight="1" s="11">
      <c r="A25" s="10" t="inlineStr">
        <is>
          <t>cushions</t>
        </is>
      </c>
      <c r="B25" s="14" t="inlineStr">
        <is>
          <t>방석 더미</t>
        </is>
      </c>
      <c r="C25" s="10" t="inlineStr">
        <is>
          <t>moon_bedroom</t>
        </is>
      </c>
      <c r="D25" s="14" t="inlineStr">
        <is>
          <t>소품</t>
        </is>
      </c>
      <c r="E25" s="14" t="inlineStr">
        <is>
          <t>작은 소품</t>
        </is>
      </c>
      <c r="F25" s="10" t="n">
        <v>100</v>
      </c>
      <c r="G25" s="10" t="n">
        <v>4</v>
      </c>
      <c r="H25" s="10">
        <f>IF(F25=0,"기본 지급",ROUND(F25/$B$1,1))</f>
        <v/>
      </c>
      <c r="I25" s="10" t="inlineStr">
        <is>
          <t>starterDrawer</t>
        </is>
      </c>
      <c r="J25" s="10" t="inlineStr">
        <is>
          <t>room-assets-v6</t>
        </is>
      </c>
    </row>
    <row r="26" ht="15" customHeight="1" s="11">
      <c r="A26" s="10" t="inlineStr">
        <is>
          <t>pawrug</t>
        </is>
      </c>
      <c r="B26" s="14" t="inlineStr">
        <is>
          <t>발바닥 러그</t>
        </is>
      </c>
      <c r="C26" s="10" t="inlineStr">
        <is>
          <t>moon_bedroom</t>
        </is>
      </c>
      <c r="D26" s="14" t="inlineStr">
        <is>
          <t>소품</t>
        </is>
      </c>
      <c r="E26" s="14" t="inlineStr">
        <is>
          <t>작은 소품</t>
        </is>
      </c>
      <c r="F26" s="10" t="n">
        <v>150</v>
      </c>
      <c r="G26" s="10" t="n">
        <v>4</v>
      </c>
      <c r="H26" s="10">
        <f>IF(F26=0,"기본 지급",ROUND(F26/$B$1,1))</f>
        <v/>
      </c>
      <c r="I26" s="10" t="inlineStr">
        <is>
          <t>starterPlaced</t>
        </is>
      </c>
      <c r="J26" s="10" t="inlineStr">
        <is>
          <t>room-assets-v6</t>
        </is>
      </c>
    </row>
    <row r="27" ht="15" customHeight="1" s="11">
      <c r="A27" s="10" t="inlineStr">
        <is>
          <t>xmastree</t>
        </is>
      </c>
      <c r="B27" s="14" t="inlineStr">
        <is>
          <t>미니 트리</t>
        </is>
      </c>
      <c r="C27" s="10" t="inlineStr">
        <is>
          <t>moon_bedroom</t>
        </is>
      </c>
      <c r="D27" s="14" t="inlineStr">
        <is>
          <t>소품</t>
        </is>
      </c>
      <c r="E27" s="14" t="inlineStr">
        <is>
          <t>작은 소품</t>
        </is>
      </c>
      <c r="F27" s="10" t="n">
        <v>150</v>
      </c>
      <c r="G27" s="10" t="n">
        <v>4</v>
      </c>
      <c r="H27" s="10">
        <f>IF(F27=0,"기본 지급",ROUND(F27/$B$1,1))</f>
        <v/>
      </c>
      <c r="I27" s="10" t="inlineStr">
        <is>
          <t>limited</t>
        </is>
      </c>
      <c r="J27" s="10" t="inlineStr">
        <is>
          <t>room-assets-v6</t>
        </is>
      </c>
    </row>
    <row r="28" ht="15" customHeight="1" s="11">
      <c r="A28" s="10" t="inlineStr">
        <is>
          <t>maneki</t>
        </is>
      </c>
      <c r="B28" s="14" t="inlineStr">
        <is>
          <t>마네키네코</t>
        </is>
      </c>
      <c r="C28" s="10" t="inlineStr">
        <is>
          <t>moon_bedroom</t>
        </is>
      </c>
      <c r="D28" s="14" t="inlineStr">
        <is>
          <t>소품</t>
        </is>
      </c>
      <c r="E28" s="14" t="inlineStr">
        <is>
          <t>작은 소품</t>
        </is>
      </c>
      <c r="F28" s="10" t="n">
        <v>150</v>
      </c>
      <c r="G28" s="10" t="n">
        <v>4</v>
      </c>
      <c r="H28" s="10">
        <f>IF(F28=0,"기본 지급",ROUND(F28/$B$1,1))</f>
        <v/>
      </c>
      <c r="J28" s="10" t="inlineStr">
        <is>
          <t>room-assets-v6</t>
        </is>
      </c>
    </row>
    <row r="29" ht="15" customHeight="1" s="11">
      <c r="A29" s="10" t="inlineStr">
        <is>
          <t>gramophone</t>
        </is>
      </c>
      <c r="B29" s="14" t="inlineStr">
        <is>
          <t>축음기</t>
        </is>
      </c>
      <c r="C29" s="10" t="inlineStr">
        <is>
          <t>moon_bedroom</t>
        </is>
      </c>
      <c r="D29" s="14" t="inlineStr">
        <is>
          <t>소품</t>
        </is>
      </c>
      <c r="E29" s="14" t="inlineStr">
        <is>
          <t>작은 소품</t>
        </is>
      </c>
      <c r="F29" s="10" t="n">
        <v>140</v>
      </c>
      <c r="G29" s="10" t="n">
        <v>4</v>
      </c>
      <c r="H29" s="10">
        <f>IF(F29=0,"기본 지급",ROUND(F29/$B$1,1))</f>
        <v/>
      </c>
      <c r="J29" s="10" t="inlineStr">
        <is>
          <t>room-assets-v6</t>
        </is>
      </c>
    </row>
    <row r="30" ht="15" customHeight="1" s="11">
      <c r="A30" s="10" t="inlineStr">
        <is>
          <t>globe</t>
        </is>
      </c>
      <c r="B30" s="14" t="inlineStr">
        <is>
          <t>지구본</t>
        </is>
      </c>
      <c r="C30" s="10" t="inlineStr">
        <is>
          <t>moon_bedroom</t>
        </is>
      </c>
      <c r="D30" s="14" t="inlineStr">
        <is>
          <t>소품</t>
        </is>
      </c>
      <c r="E30" s="14" t="inlineStr">
        <is>
          <t>작은 소품</t>
        </is>
      </c>
      <c r="F30" s="10" t="n">
        <v>120</v>
      </c>
      <c r="G30" s="10" t="n">
        <v>4</v>
      </c>
      <c r="H30" s="10">
        <f>IF(F30=0,"기본 지급",ROUND(F30/$B$1,1))</f>
        <v/>
      </c>
      <c r="I30" s="10" t="n"/>
      <c r="J30" s="10" t="inlineStr">
        <is>
          <t>room-assets-v6</t>
        </is>
      </c>
    </row>
    <row r="31" ht="15" customHeight="1" s="11">
      <c r="A31" s="10" t="inlineStr">
        <is>
          <t>catcactus</t>
        </is>
      </c>
      <c r="B31" s="14" t="inlineStr">
        <is>
          <t>냥이 선인장</t>
        </is>
      </c>
      <c r="C31" s="10" t="inlineStr">
        <is>
          <t>moon_bedroom</t>
        </is>
      </c>
      <c r="D31" s="14" t="inlineStr">
        <is>
          <t>소품</t>
        </is>
      </c>
      <c r="E31" s="14" t="inlineStr">
        <is>
          <t>작은 소품</t>
        </is>
      </c>
      <c r="F31" s="10" t="n">
        <v>80</v>
      </c>
      <c r="G31" s="10" t="n">
        <v>4</v>
      </c>
      <c r="H31" s="10">
        <f>IF(F31=0,"기본 지급",ROUND(F31/$B$1,1))</f>
        <v/>
      </c>
      <c r="I31" s="10" t="n"/>
      <c r="J31" s="10" t="inlineStr">
        <is>
          <t>room-assets-v6</t>
        </is>
      </c>
    </row>
    <row r="32" ht="15" customHeight="1" s="11">
      <c r="A32" s="10" t="inlineStr">
        <is>
          <t>archmirror</t>
        </is>
      </c>
      <c r="B32" s="14" t="inlineStr">
        <is>
          <t>아치 거울</t>
        </is>
      </c>
      <c r="C32" s="10" t="inlineStr">
        <is>
          <t>moon_bedroom</t>
        </is>
      </c>
      <c r="D32" s="14" t="inlineStr">
        <is>
          <t>소품</t>
        </is>
      </c>
      <c r="E32" s="14" t="inlineStr">
        <is>
          <t>작은 소품</t>
        </is>
      </c>
      <c r="F32" s="10" t="n">
        <v>150</v>
      </c>
      <c r="G32" s="10" t="n">
        <v>4</v>
      </c>
      <c r="H32" s="10">
        <f>IF(F32=0,"기본 지급",ROUND(F32/$B$1,1))</f>
        <v/>
      </c>
      <c r="J32" s="10" t="inlineStr">
        <is>
          <t>room-assets-v6</t>
        </is>
      </c>
    </row>
    <row r="33" ht="15" customHeight="1" s="11">
      <c r="A33" s="10" t="inlineStr">
        <is>
          <t>aquarium</t>
        </is>
      </c>
      <c r="B33" s="14" t="inlineStr">
        <is>
          <t>수족관 장</t>
        </is>
      </c>
      <c r="C33" s="10" t="inlineStr">
        <is>
          <t>moon_bedroom</t>
        </is>
      </c>
      <c r="D33" s="14" t="inlineStr">
        <is>
          <t>소품</t>
        </is>
      </c>
      <c r="E33" s="14" t="inlineStr">
        <is>
          <t>작은 소품</t>
        </is>
      </c>
      <c r="F33" s="10" t="n">
        <v>150</v>
      </c>
      <c r="G33" s="10" t="n">
        <v>4</v>
      </c>
      <c r="H33" s="10">
        <f>IF(F33=0,"기본 지급",ROUND(F33/$B$1,1))</f>
        <v/>
      </c>
      <c r="J33" s="10" t="inlineStr">
        <is>
          <t>room-assets-v6</t>
        </is>
      </c>
    </row>
    <row r="34" ht="15" customHeight="1" s="11">
      <c r="A34" s="10" t="inlineStr">
        <is>
          <t>starlight</t>
        </is>
      </c>
      <c r="B34" s="14" t="inlineStr">
        <is>
          <t>별 수면등</t>
        </is>
      </c>
      <c r="C34" s="10" t="inlineStr">
        <is>
          <t>moon_bedroom</t>
        </is>
      </c>
      <c r="D34" s="14" t="inlineStr">
        <is>
          <t>소품</t>
        </is>
      </c>
      <c r="E34" s="14" t="inlineStr">
        <is>
          <t>작은 소품</t>
        </is>
      </c>
      <c r="F34" s="10" t="n">
        <v>110</v>
      </c>
      <c r="G34" s="10" t="n">
        <v>4</v>
      </c>
      <c r="H34" s="10">
        <f>IF(F34=0,"기본 지급",ROUND(F34/$B$1,1))</f>
        <v/>
      </c>
      <c r="I34" s="10" t="n"/>
      <c r="J34" s="10" t="inlineStr">
        <is>
          <t>room-assets-v6</t>
        </is>
      </c>
    </row>
    <row r="35" ht="15" customHeight="1" s="11">
      <c r="A35" s="10" t="inlineStr">
        <is>
          <t>gifts</t>
        </is>
      </c>
      <c r="B35" s="14" t="inlineStr">
        <is>
          <t>선물 상자</t>
        </is>
      </c>
      <c r="C35" s="10" t="inlineStr">
        <is>
          <t>moon_bedroom</t>
        </is>
      </c>
      <c r="D35" s="14" t="inlineStr">
        <is>
          <t>소품</t>
        </is>
      </c>
      <c r="E35" s="14" t="inlineStr">
        <is>
          <t>작은 소품</t>
        </is>
      </c>
      <c r="F35" s="10" t="n">
        <v>100</v>
      </c>
      <c r="G35" s="10" t="n">
        <v>4</v>
      </c>
      <c r="H35" s="10">
        <f>IF(F35=0,"기본 지급",ROUND(F35/$B$1,1))</f>
        <v/>
      </c>
      <c r="I35" s="10" t="inlineStr">
        <is>
          <t>limited</t>
        </is>
      </c>
      <c r="J35" s="10" t="inlineStr">
        <is>
          <t>room-assets-v6</t>
        </is>
      </c>
    </row>
    <row r="36" ht="15" customHeight="1" s="11">
      <c r="A36" s="10" t="inlineStr">
        <is>
          <t>archwindow</t>
        </is>
      </c>
      <c r="B36" s="14" t="inlineStr">
        <is>
          <t>커튼 창문</t>
        </is>
      </c>
      <c r="C36" s="10" t="inlineStr">
        <is>
          <t>moon_bedroom</t>
        </is>
      </c>
      <c r="D36" s="14" t="inlineStr">
        <is>
          <t>벽 꾸미기</t>
        </is>
      </c>
      <c r="E36" s="14" t="inlineStr">
        <is>
          <t>벽 꾸미기</t>
        </is>
      </c>
      <c r="F36" s="10" t="n">
        <v>200</v>
      </c>
      <c r="G36" s="10" t="n">
        <v>6</v>
      </c>
      <c r="H36" s="10">
        <f>IF(F36=0,"기본 지급",ROUND(F36/$B$1,1))</f>
        <v/>
      </c>
      <c r="I36" s="10" t="inlineStr">
        <is>
          <t>starterPlaced</t>
        </is>
      </c>
      <c r="J36" s="10" t="inlineStr">
        <is>
          <t>room-assets-v6</t>
        </is>
      </c>
    </row>
    <row r="37" ht="15" customHeight="1" s="11">
      <c r="A37" s="10" t="inlineStr">
        <is>
          <t>porthole</t>
        </is>
      </c>
      <c r="B37" s="14" t="inlineStr">
        <is>
          <t>동그란 창</t>
        </is>
      </c>
      <c r="C37" s="10" t="inlineStr">
        <is>
          <t>moon_bedroom</t>
        </is>
      </c>
      <c r="D37" s="14" t="inlineStr">
        <is>
          <t>벽 꾸미기</t>
        </is>
      </c>
      <c r="E37" s="14" t="inlineStr">
        <is>
          <t>벽 꾸미기</t>
        </is>
      </c>
      <c r="F37" s="10" t="n">
        <v>180</v>
      </c>
      <c r="G37" s="10" t="n">
        <v>6</v>
      </c>
      <c r="H37" s="10">
        <f>IF(F37=0,"기본 지급",ROUND(F37/$B$1,1))</f>
        <v/>
      </c>
      <c r="J37" s="10" t="inlineStr">
        <is>
          <t>room-assets-v6</t>
        </is>
      </c>
    </row>
    <row r="38" ht="15" customHeight="1" s="11">
      <c r="A38" s="10" t="inlineStr">
        <is>
          <t>squareframe</t>
        </is>
      </c>
      <c r="B38" s="14" t="inlineStr">
        <is>
          <t>네모 액자</t>
        </is>
      </c>
      <c r="C38" s="10" t="inlineStr">
        <is>
          <t>moon_bedroom</t>
        </is>
      </c>
      <c r="D38" s="14" t="inlineStr">
        <is>
          <t>카드액자</t>
        </is>
      </c>
      <c r="E38" s="14" t="inlineStr">
        <is>
          <t>벽 꾸미기</t>
        </is>
      </c>
      <c r="F38" s="10" t="n">
        <v>120</v>
      </c>
      <c r="G38" s="10" t="n">
        <v>6</v>
      </c>
      <c r="H38" s="10">
        <f>IF(F38=0,"기본 지급",ROUND(F38/$B$1,1))</f>
        <v/>
      </c>
      <c r="J38" s="10" t="inlineStr">
        <is>
          <t>room-assets-v6</t>
        </is>
      </c>
    </row>
    <row r="39" ht="15" customHeight="1" s="11">
      <c r="A39" s="10" t="inlineStr">
        <is>
          <t>cardframe</t>
        </is>
      </c>
      <c r="B39" s="14" t="inlineStr">
        <is>
          <t>리본 카드 액자</t>
        </is>
      </c>
      <c r="C39" s="10" t="inlineStr">
        <is>
          <t>moon_bedroom</t>
        </is>
      </c>
      <c r="D39" s="14" t="inlineStr">
        <is>
          <t>카드액자</t>
        </is>
      </c>
      <c r="E39" s="14" t="inlineStr">
        <is>
          <t>벽 꾸미기</t>
        </is>
      </c>
      <c r="F39" s="10" t="n">
        <v>100</v>
      </c>
      <c r="G39" s="10" t="n">
        <v>6</v>
      </c>
      <c r="H39" s="10">
        <f>IF(F39=0,"기본 지급",ROUND(F39/$B$1,1))</f>
        <v/>
      </c>
      <c r="I39" s="10" t="inlineStr">
        <is>
          <t>starterPlaced</t>
        </is>
      </c>
      <c r="J39" s="10" t="inlineStr">
        <is>
          <t>room-assets-v6</t>
        </is>
      </c>
    </row>
    <row r="40" ht="15" customHeight="1" s="11">
      <c r="A40" s="10" t="inlineStr">
        <is>
          <t>catclock</t>
        </is>
      </c>
      <c r="B40" s="14" t="inlineStr">
        <is>
          <t>냥이 벽시계</t>
        </is>
      </c>
      <c r="C40" s="10" t="inlineStr">
        <is>
          <t>moon_bedroom</t>
        </is>
      </c>
      <c r="D40" s="14" t="inlineStr">
        <is>
          <t>벽 꾸미기</t>
        </is>
      </c>
      <c r="E40" s="14" t="inlineStr">
        <is>
          <t>벽 꾸미기</t>
        </is>
      </c>
      <c r="F40" s="10" t="n">
        <v>160</v>
      </c>
      <c r="G40" s="10" t="n">
        <v>6</v>
      </c>
      <c r="H40" s="10">
        <f>IF(F40=0,"기본 지급",ROUND(F40/$B$1,1))</f>
        <v/>
      </c>
      <c r="J40" s="10" t="inlineStr">
        <is>
          <t>room-assets-v6</t>
        </is>
      </c>
    </row>
    <row r="41" ht="15" customHeight="1" s="11">
      <c r="A41" s="10" t="inlineStr">
        <is>
          <t>fairylights</t>
        </is>
      </c>
      <c r="B41" s="14" t="inlineStr">
        <is>
          <t>꼬마전구</t>
        </is>
      </c>
      <c r="C41" s="10" t="inlineStr">
        <is>
          <t>moon_bedroom</t>
        </is>
      </c>
      <c r="D41" s="14" t="inlineStr">
        <is>
          <t>벽 꾸미기</t>
        </is>
      </c>
      <c r="E41" s="14" t="inlineStr">
        <is>
          <t>벽 꾸미기</t>
        </is>
      </c>
      <c r="F41" s="10" t="n">
        <v>180</v>
      </c>
      <c r="G41" s="10" t="n">
        <v>6</v>
      </c>
      <c r="H41" s="10">
        <f>IF(F41=0,"기본 지급",ROUND(F41/$B$1,1))</f>
        <v/>
      </c>
      <c r="J41" s="10" t="inlineStr">
        <is>
          <t>room-assets-v6</t>
        </is>
      </c>
    </row>
    <row r="42" ht="15" customHeight="1" s="11">
      <c r="A42" s="10" t="inlineStr">
        <is>
          <t>wallshelf</t>
        </is>
      </c>
      <c r="B42" s="14" t="inlineStr">
        <is>
          <t>화분 선반</t>
        </is>
      </c>
      <c r="C42" s="10" t="inlineStr">
        <is>
          <t>moon_bedroom</t>
        </is>
      </c>
      <c r="D42" s="14" t="inlineStr">
        <is>
          <t>벽 꾸미기</t>
        </is>
      </c>
      <c r="E42" s="14" t="inlineStr">
        <is>
          <t>벽 꾸미기</t>
        </is>
      </c>
      <c r="F42" s="10" t="n">
        <v>150</v>
      </c>
      <c r="G42" s="10" t="n">
        <v>6</v>
      </c>
      <c r="H42" s="10">
        <f>IF(F42=0,"기본 지급",ROUND(F42/$B$1,1))</f>
        <v/>
      </c>
      <c r="J42" s="10" t="inlineStr">
        <is>
          <t>room-assets-v6</t>
        </is>
      </c>
    </row>
    <row r="43" ht="15" customHeight="1" s="11">
      <c r="A43" s="10" t="inlineStr">
        <is>
          <t>bunting</t>
        </is>
      </c>
      <c r="B43" s="14" t="inlineStr">
        <is>
          <t>발바닥 가랜드</t>
        </is>
      </c>
      <c r="C43" s="10" t="inlineStr">
        <is>
          <t>moon_bedroom</t>
        </is>
      </c>
      <c r="D43" s="14" t="inlineStr">
        <is>
          <t>벽 꾸미기</t>
        </is>
      </c>
      <c r="E43" s="14" t="inlineStr">
        <is>
          <t>벽 꾸미기</t>
        </is>
      </c>
      <c r="F43" s="10" t="n">
        <v>130</v>
      </c>
      <c r="G43" s="10" t="n">
        <v>6</v>
      </c>
      <c r="H43" s="10">
        <f>IF(F43=0,"기본 지급",ROUND(F43/$B$1,1))</f>
        <v/>
      </c>
      <c r="I43" s="10" t="n"/>
      <c r="J43" s="10" t="inlineStr">
        <is>
          <t>room-assets-v6</t>
        </is>
      </c>
    </row>
    <row r="44" ht="15" customHeight="1" s="11">
      <c r="A44" s="10" t="inlineStr">
        <is>
          <t>starlamp</t>
        </is>
      </c>
      <c r="B44" s="14" t="inlineStr">
        <is>
          <t>별 벽등</t>
        </is>
      </c>
      <c r="C44" s="10" t="inlineStr">
        <is>
          <t>moon_bedroom</t>
        </is>
      </c>
      <c r="D44" s="14" t="inlineStr">
        <is>
          <t>벽 꾸미기</t>
        </is>
      </c>
      <c r="E44" s="14" t="inlineStr">
        <is>
          <t>벽 꾸미기</t>
        </is>
      </c>
      <c r="F44" s="10" t="n">
        <v>220</v>
      </c>
      <c r="G44" s="10" t="n">
        <v>6</v>
      </c>
      <c r="H44" s="10">
        <f>IF(F44=0,"기본 지급",ROUND(F44/$B$1,1))</f>
        <v/>
      </c>
      <c r="J44" s="10" t="inlineStr">
        <is>
          <t>room-assets-v6</t>
        </is>
      </c>
    </row>
    <row r="45" ht="15" customHeight="1" s="11">
      <c r="A45" s="10" t="inlineStr">
        <is>
          <t>earmirror</t>
        </is>
      </c>
      <c r="B45" s="14" t="inlineStr">
        <is>
          <t>냥귀 거울</t>
        </is>
      </c>
      <c r="C45" s="10" t="inlineStr">
        <is>
          <t>moon_bedroom</t>
        </is>
      </c>
      <c r="D45" s="14" t="inlineStr">
        <is>
          <t>벽 꾸미기</t>
        </is>
      </c>
      <c r="E45" s="14" t="inlineStr">
        <is>
          <t>벽 꾸미기</t>
        </is>
      </c>
      <c r="F45" s="10" t="n">
        <v>170</v>
      </c>
      <c r="G45" s="10" t="n">
        <v>6</v>
      </c>
      <c r="H45" s="10">
        <f>IF(F45=0,"기본 지급",ROUND(F45/$B$1,1))</f>
        <v/>
      </c>
      <c r="J45" s="10" t="inlineStr">
        <is>
          <t>room-assets-v6</t>
        </is>
      </c>
    </row>
    <row r="46" ht="15" customHeight="1" s="11">
      <c r="A46" s="10" t="inlineStr">
        <is>
          <t>moonmobile</t>
        </is>
      </c>
      <c r="B46" s="14" t="inlineStr">
        <is>
          <t>달 모빌</t>
        </is>
      </c>
      <c r="C46" s="10" t="inlineStr">
        <is>
          <t>moon_bedroom</t>
        </is>
      </c>
      <c r="D46" s="14" t="inlineStr">
        <is>
          <t>벽 꾸미기</t>
        </is>
      </c>
      <c r="E46" s="14" t="inlineStr">
        <is>
          <t>벽 꾸미기</t>
        </is>
      </c>
      <c r="F46" s="10" t="n">
        <v>200</v>
      </c>
      <c r="G46" s="10" t="n">
        <v>6</v>
      </c>
      <c r="H46" s="10">
        <f>IF(F46=0,"기본 지급",ROUND(F46/$B$1,1))</f>
        <v/>
      </c>
      <c r="J46" s="10" t="inlineStr">
        <is>
          <t>room-assets-v6</t>
        </is>
      </c>
    </row>
    <row r="47" ht="15" customHeight="1" s="11">
      <c r="A47" s="10" t="inlineStr">
        <is>
          <t>corkboard</t>
        </is>
      </c>
      <c r="B47" s="14" t="inlineStr">
        <is>
          <t>메모 보드</t>
        </is>
      </c>
      <c r="C47" s="10" t="inlineStr">
        <is>
          <t>moon_bedroom</t>
        </is>
      </c>
      <c r="D47" s="14" t="inlineStr">
        <is>
          <t>벽 꾸미기</t>
        </is>
      </c>
      <c r="E47" s="14" t="inlineStr">
        <is>
          <t>벽 꾸미기</t>
        </is>
      </c>
      <c r="F47" s="10" t="n">
        <v>120</v>
      </c>
      <c r="G47" s="10" t="n">
        <v>6</v>
      </c>
      <c r="H47" s="10">
        <f>IF(F47=0,"기본 지급",ROUND(F47/$B$1,1))</f>
        <v/>
      </c>
      <c r="J47" s="10" t="inlineStr">
        <is>
          <t>room-assets-v6</t>
        </is>
      </c>
    </row>
    <row r="48" ht="15" customHeight="1" s="11">
      <c r="A48" s="10" t="inlineStr">
        <is>
          <t>catsteps</t>
        </is>
      </c>
      <c r="B48" s="14" t="inlineStr">
        <is>
          <t>캣 스텝</t>
        </is>
      </c>
      <c r="C48" s="10" t="inlineStr">
        <is>
          <t>moon_bedroom</t>
        </is>
      </c>
      <c r="D48" s="14" t="inlineStr">
        <is>
          <t>벽 꾸미기</t>
        </is>
      </c>
      <c r="E48" s="14" t="inlineStr">
        <is>
          <t>벽 꾸미기</t>
        </is>
      </c>
      <c r="F48" s="10" t="n">
        <v>250</v>
      </c>
      <c r="G48" s="10" t="n">
        <v>6</v>
      </c>
      <c r="H48" s="10">
        <f>IF(F48=0,"기본 지급",ROUND(F48/$B$1,1))</f>
        <v/>
      </c>
      <c r="J48" s="10" t="inlineStr">
        <is>
          <t>room-assets-v6</t>
        </is>
      </c>
    </row>
    <row r="49" ht="15" customHeight="1" s="11">
      <c r="A49" s="10" t="inlineStr">
        <is>
          <t>heartneon</t>
        </is>
      </c>
      <c r="B49" s="14" t="inlineStr">
        <is>
          <t>하트 네온</t>
        </is>
      </c>
      <c r="C49" s="10" t="inlineStr">
        <is>
          <t>moon_bedroom</t>
        </is>
      </c>
      <c r="D49" s="14" t="inlineStr">
        <is>
          <t>벽 꾸미기</t>
        </is>
      </c>
      <c r="E49" s="14" t="inlineStr">
        <is>
          <t>벽 꾸미기</t>
        </is>
      </c>
      <c r="F49" s="10" t="n">
        <v>240</v>
      </c>
      <c r="G49" s="10" t="n">
        <v>6</v>
      </c>
      <c r="H49" s="10">
        <f>IF(F49=0,"기본 지급",ROUND(F49/$B$1,1))</f>
        <v/>
      </c>
      <c r="J49" s="10" t="inlineStr">
        <is>
          <t>room-assets-v6</t>
        </is>
      </c>
    </row>
    <row r="50" ht="15" customHeight="1" s="11">
      <c r="A50" s="10" t="inlineStr">
        <is>
          <t>dreamcatcher</t>
        </is>
      </c>
      <c r="B50" s="14" t="inlineStr">
        <is>
          <t>드림캐처</t>
        </is>
      </c>
      <c r="C50" s="10" t="inlineStr">
        <is>
          <t>moon_bedroom</t>
        </is>
      </c>
      <c r="D50" s="14" t="inlineStr">
        <is>
          <t>벽 꾸미기</t>
        </is>
      </c>
      <c r="E50" s="14" t="inlineStr">
        <is>
          <t>벽 꾸미기</t>
        </is>
      </c>
      <c r="F50" s="10" t="n">
        <v>140</v>
      </c>
      <c r="G50" s="10" t="n">
        <v>6</v>
      </c>
      <c r="H50" s="10">
        <f>IF(F50=0,"기본 지급",ROUND(F50/$B$1,1))</f>
        <v/>
      </c>
      <c r="J50" s="10" t="inlineStr">
        <is>
          <t>room-assets-v6</t>
        </is>
      </c>
    </row>
    <row r="51" ht="15" customHeight="1" s="11">
      <c r="A51" s="10" t="inlineStr">
        <is>
          <t>calendar</t>
        </is>
      </c>
      <c r="B51" s="14" t="inlineStr">
        <is>
          <t>발바닥 달력</t>
        </is>
      </c>
      <c r="C51" s="10" t="inlineStr">
        <is>
          <t>moon_bedroom</t>
        </is>
      </c>
      <c r="D51" s="14" t="inlineStr">
        <is>
          <t>벽 꾸미기</t>
        </is>
      </c>
      <c r="E51" s="14" t="inlineStr">
        <is>
          <t>벽 꾸미기</t>
        </is>
      </c>
      <c r="F51" s="10" t="n">
        <v>100</v>
      </c>
      <c r="G51" s="10" t="n">
        <v>6</v>
      </c>
      <c r="H51" s="10">
        <f>IF(F51=0,"기본 지급",ROUND(F51/$B$1,1))</f>
        <v/>
      </c>
      <c r="I51" s="10" t="n"/>
      <c r="J51" s="10" t="inlineStr">
        <is>
          <t>room-assets-v6</t>
        </is>
      </c>
    </row>
    <row r="52" ht="17.15" customHeight="1" s="11">
      <c r="A52" s="10" t="inlineStr">
        <is>
          <t>floor_wood_honey</t>
        </is>
      </c>
      <c r="B52" s="14" t="inlineStr">
        <is>
          <t>꿀빛 원목</t>
        </is>
      </c>
      <c r="C52" s="10" t="inlineStr">
        <is>
          <t>moon_bedroom</t>
        </is>
      </c>
      <c r="D52" s="14" t="inlineStr">
        <is>
          <t>바닥</t>
        </is>
      </c>
      <c r="E52" s="14" t="inlineStr">
        <is>
          <t>벽지/바닥</t>
        </is>
      </c>
      <c r="F52" s="10" t="n">
        <v>0</v>
      </c>
      <c r="G52" s="10" t="n">
        <v>8</v>
      </c>
      <c r="H52" s="10">
        <f>IF(F52=0,"기본 지급",ROUND(F52/$B$1,1))</f>
        <v/>
      </c>
      <c r="I52" s="10" t="inlineStr">
        <is>
          <t>roomDefault, starterPlaced</t>
        </is>
      </c>
      <c r="J52" s="10" t="inlineStr">
        <is>
          <t>room-assets-v6</t>
        </is>
      </c>
    </row>
    <row r="53" ht="17.15" customHeight="1" s="11">
      <c r="A53" s="10" t="inlineStr">
        <is>
          <t>floor_wood_oak</t>
        </is>
      </c>
      <c r="B53" s="14" t="inlineStr">
        <is>
          <t>밝은 오크</t>
        </is>
      </c>
      <c r="C53" s="10" t="inlineStr">
        <is>
          <t>moon_bedroom</t>
        </is>
      </c>
      <c r="D53" s="14" t="inlineStr">
        <is>
          <t>바닥</t>
        </is>
      </c>
      <c r="E53" s="14" t="inlineStr">
        <is>
          <t>벽지/바닥</t>
        </is>
      </c>
      <c r="F53" s="10" t="n">
        <v>200</v>
      </c>
      <c r="G53" s="10" t="n">
        <v>8</v>
      </c>
      <c r="H53" s="10">
        <f>IF(F53=0,"기본 지급",ROUND(F53/$B$1,1))</f>
        <v/>
      </c>
      <c r="J53" s="10" t="inlineStr">
        <is>
          <t>room-assets-v6</t>
        </is>
      </c>
    </row>
    <row r="54" ht="17.15" customHeight="1" s="11">
      <c r="A54" s="10" t="inlineStr">
        <is>
          <t>floor_check_pink</t>
        </is>
      </c>
      <c r="B54" s="14" t="inlineStr">
        <is>
          <t>핑크 체크</t>
        </is>
      </c>
      <c r="C54" s="10" t="inlineStr">
        <is>
          <t>moon_bedroom</t>
        </is>
      </c>
      <c r="D54" s="14" t="inlineStr">
        <is>
          <t>바닥</t>
        </is>
      </c>
      <c r="E54" s="14" t="inlineStr">
        <is>
          <t>벽지/바닥</t>
        </is>
      </c>
      <c r="F54" s="10" t="n">
        <v>240</v>
      </c>
      <c r="G54" s="10" t="n">
        <v>8</v>
      </c>
      <c r="H54" s="10">
        <f>IF(F54=0,"기본 지급",ROUND(F54/$B$1,1))</f>
        <v/>
      </c>
      <c r="I54" s="10" t="inlineStr">
        <is>
          <t>starterDrawer</t>
        </is>
      </c>
      <c r="J54" s="10" t="inlineStr">
        <is>
          <t>room-assets-v6</t>
        </is>
      </c>
    </row>
    <row r="55" ht="17.15" customHeight="1" s="11">
      <c r="A55" s="10" t="inlineStr">
        <is>
          <t>floor_check_mint</t>
        </is>
      </c>
      <c r="B55" s="14" t="inlineStr">
        <is>
          <t>민트 체크</t>
        </is>
      </c>
      <c r="C55" s="10" t="inlineStr">
        <is>
          <t>moon_bedroom</t>
        </is>
      </c>
      <c r="D55" s="14" t="inlineStr">
        <is>
          <t>바닥</t>
        </is>
      </c>
      <c r="E55" s="14" t="inlineStr">
        <is>
          <t>벽지/바닥</t>
        </is>
      </c>
      <c r="F55" s="10" t="n">
        <v>240</v>
      </c>
      <c r="G55" s="10" t="n">
        <v>8</v>
      </c>
      <c r="H55" s="10">
        <f>IF(F55=0,"기본 지급",ROUND(F55/$B$1,1))</f>
        <v/>
      </c>
      <c r="J55" s="10" t="inlineStr">
        <is>
          <t>room-assets-v6</t>
        </is>
      </c>
    </row>
    <row r="56" ht="17.15" customHeight="1" s="11">
      <c r="A56" s="10" t="inlineStr">
        <is>
          <t>floor_herring_lav</t>
        </is>
      </c>
      <c r="B56" s="14" t="inlineStr">
        <is>
          <t>라벤더 헤링본</t>
        </is>
      </c>
      <c r="C56" s="10" t="inlineStr">
        <is>
          <t>moon_bedroom</t>
        </is>
      </c>
      <c r="D56" s="14" t="inlineStr">
        <is>
          <t>바닥</t>
        </is>
      </c>
      <c r="E56" s="14" t="inlineStr">
        <is>
          <t>벽지/바닥</t>
        </is>
      </c>
      <c r="F56" s="10" t="n">
        <v>280</v>
      </c>
      <c r="G56" s="10" t="n">
        <v>8</v>
      </c>
      <c r="H56" s="10">
        <f>IF(F56=0,"기본 지급",ROUND(F56/$B$1,1))</f>
        <v/>
      </c>
      <c r="J56" s="10" t="inlineStr">
        <is>
          <t>room-assets-v6</t>
        </is>
      </c>
    </row>
    <row r="57" ht="17.15" customHeight="1" s="11">
      <c r="A57" s="10" t="inlineStr">
        <is>
          <t>floor_marble_cream</t>
        </is>
      </c>
      <c r="B57" s="14" t="inlineStr">
        <is>
          <t>크림 대리석</t>
        </is>
      </c>
      <c r="C57" s="10" t="inlineStr">
        <is>
          <t>moon_bedroom</t>
        </is>
      </c>
      <c r="D57" s="14" t="inlineStr">
        <is>
          <t>바닥</t>
        </is>
      </c>
      <c r="E57" s="14" t="inlineStr">
        <is>
          <t>벽지/바닥</t>
        </is>
      </c>
      <c r="F57" s="10" t="n">
        <v>320</v>
      </c>
      <c r="G57" s="10" t="n">
        <v>8</v>
      </c>
      <c r="H57" s="10">
        <f>IF(F57=0,"기본 지급",ROUND(F57/$B$1,1))</f>
        <v/>
      </c>
      <c r="J57" s="10" t="inlineStr">
        <is>
          <t>room-assets-v6</t>
        </is>
      </c>
    </row>
    <row r="58" ht="17.15" customHeight="1" s="11">
      <c r="A58" s="10" t="inlineStr">
        <is>
          <t>floor_paw_tile</t>
        </is>
      </c>
      <c r="B58" s="14" t="inlineStr">
        <is>
          <t>발바닥 타일</t>
        </is>
      </c>
      <c r="C58" s="10" t="inlineStr">
        <is>
          <t>moon_bedroom</t>
        </is>
      </c>
      <c r="D58" s="14" t="inlineStr">
        <is>
          <t>바닥</t>
        </is>
      </c>
      <c r="E58" s="14" t="inlineStr">
        <is>
          <t>벽지/바닥</t>
        </is>
      </c>
      <c r="F58" s="10" t="n">
        <v>300</v>
      </c>
      <c r="G58" s="10" t="n">
        <v>8</v>
      </c>
      <c r="H58" s="10">
        <f>IF(F58=0,"기본 지급",ROUND(F58/$B$1,1))</f>
        <v/>
      </c>
      <c r="J58" s="10" t="inlineStr">
        <is>
          <t>room-assets-v6</t>
        </is>
      </c>
    </row>
    <row r="59" ht="17.15" customHeight="1" s="11">
      <c r="A59" s="10" t="inlineStr">
        <is>
          <t>floor_star_navy</t>
        </is>
      </c>
      <c r="B59" s="14" t="inlineStr">
        <is>
          <t>별가루 네이비</t>
        </is>
      </c>
      <c r="C59" s="10" t="inlineStr">
        <is>
          <t>moon_bedroom</t>
        </is>
      </c>
      <c r="D59" s="14" t="inlineStr">
        <is>
          <t>바닥</t>
        </is>
      </c>
      <c r="E59" s="14" t="inlineStr">
        <is>
          <t>벽지/바닥</t>
        </is>
      </c>
      <c r="F59" s="10" t="n">
        <v>360</v>
      </c>
      <c r="G59" s="10" t="n">
        <v>8</v>
      </c>
      <c r="H59" s="10">
        <f>IF(F59=0,"기본 지급",ROUND(F59/$B$1,1))</f>
        <v/>
      </c>
      <c r="J59" s="10" t="inlineStr">
        <is>
          <t>room-assets-v6</t>
        </is>
      </c>
    </row>
    <row r="60" ht="17.15" customHeight="1" s="11">
      <c r="A60" s="10" t="inlineStr">
        <is>
          <t>floor_carpet_pink</t>
        </is>
      </c>
      <c r="B60" s="14" t="inlineStr">
        <is>
          <t>몽글 핑크 카펫</t>
        </is>
      </c>
      <c r="C60" s="10" t="inlineStr">
        <is>
          <t>moon_bedroom</t>
        </is>
      </c>
      <c r="D60" s="14" t="inlineStr">
        <is>
          <t>바닥</t>
        </is>
      </c>
      <c r="E60" s="14" t="inlineStr">
        <is>
          <t>벽지/바닥</t>
        </is>
      </c>
      <c r="F60" s="10" t="n">
        <v>260</v>
      </c>
      <c r="G60" s="10" t="n">
        <v>8</v>
      </c>
      <c r="H60" s="10">
        <f>IF(F60=0,"기본 지급",ROUND(F60/$B$1,1))</f>
        <v/>
      </c>
      <c r="J60" s="10" t="inlineStr">
        <is>
          <t>room-assets-v6</t>
        </is>
      </c>
    </row>
    <row r="61" ht="17.15" customHeight="1" s="11">
      <c r="A61" s="10" t="inlineStr">
        <is>
          <t>floor_meadow</t>
        </is>
      </c>
      <c r="B61" s="14" t="inlineStr">
        <is>
          <t>초록 들판</t>
        </is>
      </c>
      <c r="C61" s="10" t="inlineStr">
        <is>
          <t>moon_bedroom</t>
        </is>
      </c>
      <c r="D61" s="14" t="inlineStr">
        <is>
          <t>바닥</t>
        </is>
      </c>
      <c r="E61" s="14" t="inlineStr">
        <is>
          <t>벽지/바닥</t>
        </is>
      </c>
      <c r="F61" s="10" t="n">
        <v>300</v>
      </c>
      <c r="G61" s="10" t="n">
        <v>8</v>
      </c>
      <c r="H61" s="10">
        <f>IF(F61=0,"기본 지급",ROUND(F61/$B$1,1))</f>
        <v/>
      </c>
      <c r="J61" s="10" t="inlineStr">
        <is>
          <t>room-assets-v6</t>
        </is>
      </c>
    </row>
    <row r="62" ht="17.15" customHeight="1" s="11">
      <c r="A62" s="10" t="inlineStr">
        <is>
          <t>floor_cloud</t>
        </is>
      </c>
      <c r="B62" s="14" t="inlineStr">
        <is>
          <t>구름 타일</t>
        </is>
      </c>
      <c r="C62" s="10" t="inlineStr">
        <is>
          <t>moon_bedroom</t>
        </is>
      </c>
      <c r="D62" s="14" t="inlineStr">
        <is>
          <t>바닥</t>
        </is>
      </c>
      <c r="E62" s="14" t="inlineStr">
        <is>
          <t>벽지/바닥</t>
        </is>
      </c>
      <c r="F62" s="10" t="n">
        <v>340</v>
      </c>
      <c r="G62" s="10" t="n">
        <v>8</v>
      </c>
      <c r="H62" s="10">
        <f>IF(F62=0,"기본 지급",ROUND(F62/$B$1,1))</f>
        <v/>
      </c>
      <c r="J62" s="10" t="inlineStr">
        <is>
          <t>room-assets-v6</t>
        </is>
      </c>
    </row>
    <row r="63" ht="17.15" customHeight="1" s="11">
      <c r="A63" s="10" t="inlineStr">
        <is>
          <t>floor_terrazzo</t>
        </is>
      </c>
      <c r="B63" s="14" t="inlineStr">
        <is>
          <t>파스텔 테라조</t>
        </is>
      </c>
      <c r="C63" s="10" t="inlineStr">
        <is>
          <t>moon_bedroom</t>
        </is>
      </c>
      <c r="D63" s="14" t="inlineStr">
        <is>
          <t>바닥</t>
        </is>
      </c>
      <c r="E63" s="14" t="inlineStr">
        <is>
          <t>벽지/바닥</t>
        </is>
      </c>
      <c r="F63" s="10" t="n">
        <v>320</v>
      </c>
      <c r="G63" s="10" t="n">
        <v>8</v>
      </c>
      <c r="H63" s="10">
        <f>IF(F63=0,"기본 지급",ROUND(F63/$B$1,1))</f>
        <v/>
      </c>
      <c r="J63" s="10" t="inlineStr">
        <is>
          <t>room-assets-v6</t>
        </is>
      </c>
    </row>
    <row r="64" ht="17.15" customHeight="1" s="11">
      <c r="A64" s="10" t="inlineStr">
        <is>
          <t>wall_plum_sparkle</t>
        </is>
      </c>
      <c r="B64" s="14" t="inlineStr">
        <is>
          <t>플럼 반짝이</t>
        </is>
      </c>
      <c r="C64" s="10" t="inlineStr">
        <is>
          <t>moon_bedroom</t>
        </is>
      </c>
      <c r="D64" s="14" t="inlineStr">
        <is>
          <t>벽지</t>
        </is>
      </c>
      <c r="E64" s="14" t="inlineStr">
        <is>
          <t>벽지/바닥</t>
        </is>
      </c>
      <c r="F64" s="10" t="n">
        <v>0</v>
      </c>
      <c r="G64" s="10" t="n">
        <v>8</v>
      </c>
      <c r="H64" s="10">
        <f>IF(F64=0,"기본 지급",ROUND(F64/$B$1,1))</f>
        <v/>
      </c>
      <c r="I64" s="10" t="inlineStr">
        <is>
          <t>roomDefault, starterPlaced</t>
        </is>
      </c>
      <c r="J64" s="10" t="inlineStr">
        <is>
          <t>room-assets-v6</t>
        </is>
      </c>
    </row>
    <row r="65" ht="17.15" customHeight="1" s="11">
      <c r="A65" s="10" t="inlineStr">
        <is>
          <t>wall_lav_stripe</t>
        </is>
      </c>
      <c r="B65" s="14" t="inlineStr">
        <is>
          <t>라벤더 줄무늬</t>
        </is>
      </c>
      <c r="C65" s="10" t="inlineStr">
        <is>
          <t>moon_bedroom</t>
        </is>
      </c>
      <c r="D65" s="14" t="inlineStr">
        <is>
          <t>벽지</t>
        </is>
      </c>
      <c r="E65" s="14" t="inlineStr">
        <is>
          <t>벽지/바닥</t>
        </is>
      </c>
      <c r="F65" s="10" t="n">
        <v>220</v>
      </c>
      <c r="G65" s="10" t="n">
        <v>8</v>
      </c>
      <c r="H65" s="10">
        <f>IF(F65=0,"기본 지급",ROUND(F65/$B$1,1))</f>
        <v/>
      </c>
      <c r="J65" s="10" t="inlineStr">
        <is>
          <t>room-assets-v6</t>
        </is>
      </c>
    </row>
    <row r="66" ht="17.15" customHeight="1" s="11">
      <c r="A66" s="10" t="inlineStr">
        <is>
          <t>wall_pink_polka</t>
        </is>
      </c>
      <c r="B66" s="14" t="inlineStr">
        <is>
          <t>핑크 도트</t>
        </is>
      </c>
      <c r="C66" s="10" t="inlineStr">
        <is>
          <t>moon_bedroom</t>
        </is>
      </c>
      <c r="D66" s="14" t="inlineStr">
        <is>
          <t>벽지</t>
        </is>
      </c>
      <c r="E66" s="14" t="inlineStr">
        <is>
          <t>벽지/바닥</t>
        </is>
      </c>
      <c r="F66" s="10" t="n">
        <v>240</v>
      </c>
      <c r="G66" s="10" t="n">
        <v>8</v>
      </c>
      <c r="H66" s="10">
        <f>IF(F66=0,"기본 지급",ROUND(F66/$B$1,1))</f>
        <v/>
      </c>
      <c r="J66" s="10" t="inlineStr">
        <is>
          <t>room-assets-v6</t>
        </is>
      </c>
    </row>
    <row r="67" ht="17.15" customHeight="1" s="11">
      <c r="A67" s="10" t="inlineStr">
        <is>
          <t>wall_mint_gingham</t>
        </is>
      </c>
      <c r="B67" s="14" t="inlineStr">
        <is>
          <t>민트 깅엄</t>
        </is>
      </c>
      <c r="C67" s="10" t="inlineStr">
        <is>
          <t>moon_bedroom</t>
        </is>
      </c>
      <c r="D67" s="14" t="inlineStr">
        <is>
          <t>벽지</t>
        </is>
      </c>
      <c r="E67" s="14" t="inlineStr">
        <is>
          <t>벽지/바닥</t>
        </is>
      </c>
      <c r="F67" s="10" t="n">
        <v>240</v>
      </c>
      <c r="G67" s="10" t="n">
        <v>8</v>
      </c>
      <c r="H67" s="10">
        <f>IF(F67=0,"기본 지급",ROUND(F67/$B$1,1))</f>
        <v/>
      </c>
      <c r="I67" s="10" t="inlineStr">
        <is>
          <t>starterDrawer</t>
        </is>
      </c>
      <c r="J67" s="10" t="inlineStr">
        <is>
          <t>room-assets-v6</t>
        </is>
      </c>
    </row>
    <row r="68" ht="17.15" customHeight="1" s="11">
      <c r="A68" s="10" t="inlineStr">
        <is>
          <t>wall_cream_cats</t>
        </is>
      </c>
      <c r="B68" s="14" t="inlineStr">
        <is>
          <t>크림 냥이</t>
        </is>
      </c>
      <c r="C68" s="10" t="inlineStr">
        <is>
          <t>moon_bedroom</t>
        </is>
      </c>
      <c r="D68" s="14" t="inlineStr">
        <is>
          <t>벽지</t>
        </is>
      </c>
      <c r="E68" s="14" t="inlineStr">
        <is>
          <t>벽지/바닥</t>
        </is>
      </c>
      <c r="F68" s="10" t="n">
        <v>280</v>
      </c>
      <c r="G68" s="10" t="n">
        <v>8</v>
      </c>
      <c r="H68" s="10">
        <f>IF(F68=0,"기본 지급",ROUND(F68/$B$1,1))</f>
        <v/>
      </c>
      <c r="J68" s="10" t="inlineStr">
        <is>
          <t>room-assets-v6</t>
        </is>
      </c>
    </row>
    <row r="69" ht="17.15" customHeight="1" s="11">
      <c r="A69" s="10" t="inlineStr">
        <is>
          <t>wall_night_sky</t>
        </is>
      </c>
      <c r="B69" s="14" t="inlineStr">
        <is>
          <t>밤하늘 별빛</t>
        </is>
      </c>
      <c r="C69" s="10" t="inlineStr">
        <is>
          <t>moon_bedroom</t>
        </is>
      </c>
      <c r="D69" s="14" t="inlineStr">
        <is>
          <t>벽지</t>
        </is>
      </c>
      <c r="E69" s="14" t="inlineStr">
        <is>
          <t>벽지/바닥</t>
        </is>
      </c>
      <c r="F69" s="10" t="n">
        <v>380</v>
      </c>
      <c r="G69" s="10" t="n">
        <v>8</v>
      </c>
      <c r="H69" s="10">
        <f>IF(F69=0,"기본 지급",ROUND(F69/$B$1,1))</f>
        <v/>
      </c>
      <c r="J69" s="10" t="inlineStr">
        <is>
          <t>room-assets-v6</t>
        </is>
      </c>
    </row>
    <row r="70" ht="17.15" customHeight="1" s="11">
      <c r="A70" s="10" t="inlineStr">
        <is>
          <t>wall_peach_hearts</t>
        </is>
      </c>
      <c r="B70" s="14" t="inlineStr">
        <is>
          <t>피치 하트</t>
        </is>
      </c>
      <c r="C70" s="10" t="inlineStr">
        <is>
          <t>moon_bedroom</t>
        </is>
      </c>
      <c r="D70" s="14" t="inlineStr">
        <is>
          <t>벽지</t>
        </is>
      </c>
      <c r="E70" s="14" t="inlineStr">
        <is>
          <t>벽지/바닥</t>
        </is>
      </c>
      <c r="F70" s="10" t="n">
        <v>260</v>
      </c>
      <c r="G70" s="10" t="n">
        <v>8</v>
      </c>
      <c r="H70" s="10">
        <f>IF(F70=0,"기본 지급",ROUND(F70/$B$1,1))</f>
        <v/>
      </c>
      <c r="J70" s="10" t="inlineStr">
        <is>
          <t>room-assets-v6</t>
        </is>
      </c>
    </row>
    <row r="71" ht="17.15" customHeight="1" s="11">
      <c r="A71" s="10" t="inlineStr">
        <is>
          <t>wall_wainscot</t>
        </is>
      </c>
      <c r="B71" s="14" t="inlineStr">
        <is>
          <t>원목 웨인스코팅</t>
        </is>
      </c>
      <c r="C71" s="10" t="inlineStr">
        <is>
          <t>moon_bedroom</t>
        </is>
      </c>
      <c r="D71" s="14" t="inlineStr">
        <is>
          <t>벽지</t>
        </is>
      </c>
      <c r="E71" s="14" t="inlineStr">
        <is>
          <t>벽지/바닥</t>
        </is>
      </c>
      <c r="F71" s="10" t="n">
        <v>300</v>
      </c>
      <c r="G71" s="10" t="n">
        <v>8</v>
      </c>
      <c r="H71" s="10">
        <f>IF(F71=0,"기본 지급",ROUND(F71/$B$1,1))</f>
        <v/>
      </c>
      <c r="J71" s="10" t="inlineStr">
        <is>
          <t>room-assets-v6</t>
        </is>
      </c>
    </row>
    <row r="72" ht="17.15" customHeight="1" s="11">
      <c r="A72" s="10" t="inlineStr">
        <is>
          <t>wall_cloud_wall</t>
        </is>
      </c>
      <c r="B72" s="14" t="inlineStr">
        <is>
          <t>몽실 구름</t>
        </is>
      </c>
      <c r="C72" s="10" t="inlineStr">
        <is>
          <t>moon_bedroom</t>
        </is>
      </c>
      <c r="D72" s="14" t="inlineStr">
        <is>
          <t>벽지</t>
        </is>
      </c>
      <c r="E72" s="14" t="inlineStr">
        <is>
          <t>벽지/바닥</t>
        </is>
      </c>
      <c r="F72" s="10" t="n">
        <v>320</v>
      </c>
      <c r="G72" s="10" t="n">
        <v>8</v>
      </c>
      <c r="H72" s="10">
        <f>IF(F72=0,"기본 지급",ROUND(F72/$B$1,1))</f>
        <v/>
      </c>
      <c r="J72" s="10" t="inlineStr">
        <is>
          <t>room-assets-v6</t>
        </is>
      </c>
    </row>
    <row r="73" ht="17.15" customHeight="1" s="11">
      <c r="A73" s="10" t="inlineStr">
        <is>
          <t>wall_paw_wall</t>
        </is>
      </c>
      <c r="B73" s="14" t="inlineStr">
        <is>
          <t>발바닥 벽지</t>
        </is>
      </c>
      <c r="C73" s="10" t="inlineStr">
        <is>
          <t>moon_bedroom</t>
        </is>
      </c>
      <c r="D73" s="14" t="inlineStr">
        <is>
          <t>벽지</t>
        </is>
      </c>
      <c r="E73" s="14" t="inlineStr">
        <is>
          <t>벽지/바닥</t>
        </is>
      </c>
      <c r="F73" s="10" t="n">
        <v>280</v>
      </c>
      <c r="G73" s="10" t="n">
        <v>8</v>
      </c>
      <c r="H73" s="10">
        <f>IF(F73=0,"기본 지급",ROUND(F73/$B$1,1))</f>
        <v/>
      </c>
      <c r="J73" s="10" t="inlineStr">
        <is>
          <t>room-assets-v6</t>
        </is>
      </c>
    </row>
    <row r="74" ht="17.15" customHeight="1" s="11">
      <c r="A74" s="10" t="inlineStr">
        <is>
          <t>wall_sage_leaf</t>
        </is>
      </c>
      <c r="B74" s="14" t="inlineStr">
        <is>
          <t>세이지 잎사귀</t>
        </is>
      </c>
      <c r="C74" s="10" t="inlineStr">
        <is>
          <t>moon_bedroom</t>
        </is>
      </c>
      <c r="D74" s="14" t="inlineStr">
        <is>
          <t>벽지</t>
        </is>
      </c>
      <c r="E74" s="14" t="inlineStr">
        <is>
          <t>벽지/바닥</t>
        </is>
      </c>
      <c r="F74" s="10" t="n">
        <v>260</v>
      </c>
      <c r="G74" s="10" t="n">
        <v>8</v>
      </c>
      <c r="H74" s="10">
        <f>IF(F74=0,"기본 지급",ROUND(F74/$B$1,1))</f>
        <v/>
      </c>
      <c r="J74" s="10" t="inlineStr">
        <is>
          <t>room-assets-v6</t>
        </is>
      </c>
    </row>
    <row r="75" ht="17.15" customHeight="1" s="11">
      <c r="A75" s="10" t="inlineStr">
        <is>
          <t>wall_moon_navy</t>
        </is>
      </c>
      <c r="B75" s="14" t="inlineStr">
        <is>
          <t>달과 별</t>
        </is>
      </c>
      <c r="C75" s="10" t="inlineStr">
        <is>
          <t>moon_bedroom</t>
        </is>
      </c>
      <c r="D75" s="14" t="inlineStr">
        <is>
          <t>벽지</t>
        </is>
      </c>
      <c r="E75" s="14" t="inlineStr">
        <is>
          <t>벽지/바닥</t>
        </is>
      </c>
      <c r="F75" s="10" t="n">
        <v>400</v>
      </c>
      <c r="G75" s="10" t="n">
        <v>8</v>
      </c>
      <c r="H75" s="10">
        <f>IF(F75=0,"기본 지급",ROUND(F75/$B$1,1))</f>
        <v/>
      </c>
      <c r="J75" s="10" t="inlineStr">
        <is>
          <t>room-assets-v6</t>
        </is>
      </c>
    </row>
    <row r="76" ht="17.15" customHeight="1" s="11">
      <c r="A76" s="10" t="inlineStr">
        <is>
          <t>counter_register</t>
        </is>
      </c>
      <c r="B76" s="14" t="inlineStr">
        <is>
          <t>계산대</t>
        </is>
      </c>
      <c r="C76" s="10" t="inlineStr">
        <is>
          <t>cat_cafe</t>
        </is>
      </c>
      <c r="D76" s="14" t="inlineStr">
        <is>
          <t>가구</t>
        </is>
      </c>
      <c r="E76" s="14" t="inlineStr">
        <is>
          <t>큰/테마 대표 가구</t>
        </is>
      </c>
      <c r="F76" s="10" t="n">
        <v>550</v>
      </c>
      <c r="G76" s="10" t="n">
        <v>25</v>
      </c>
      <c r="H76" s="10">
        <f>IF(F76=0,"기본 지급",ROUND(F76/$B$1,1))</f>
        <v/>
      </c>
      <c r="J76" s="10" t="inlineStr">
        <is>
          <t>room-assets-themes</t>
        </is>
      </c>
    </row>
    <row r="77" ht="17.15" customHeight="1" s="11">
      <c r="A77" s="10" t="inlineStr">
        <is>
          <t>espresso_counter</t>
        </is>
      </c>
      <c r="B77" s="14" t="inlineStr">
        <is>
          <t>에스프레소 머신</t>
        </is>
      </c>
      <c r="C77" s="10" t="inlineStr">
        <is>
          <t>cat_cafe</t>
        </is>
      </c>
      <c r="D77" s="14" t="inlineStr">
        <is>
          <t>가구</t>
        </is>
      </c>
      <c r="E77" s="14" t="inlineStr">
        <is>
          <t>큰/테마 대표 가구</t>
        </is>
      </c>
      <c r="F77" s="10" t="n">
        <v>600</v>
      </c>
      <c r="G77" s="10" t="n">
        <v>25</v>
      </c>
      <c r="H77" s="10">
        <f>IF(F77=0,"기본 지급",ROUND(F77/$B$1,1))</f>
        <v/>
      </c>
      <c r="J77" s="10" t="inlineStr">
        <is>
          <t>room-assets-themes</t>
        </is>
      </c>
    </row>
    <row r="78" ht="17.15" customHeight="1" s="11">
      <c r="A78" s="10" t="inlineStr">
        <is>
          <t>cake_showcase</t>
        </is>
      </c>
      <c r="B78" s="14" t="inlineStr">
        <is>
          <t>케이크 쇼케이스</t>
        </is>
      </c>
      <c r="C78" s="10" t="inlineStr">
        <is>
          <t>cat_cafe</t>
        </is>
      </c>
      <c r="D78" s="14" t="inlineStr">
        <is>
          <t>가구</t>
        </is>
      </c>
      <c r="E78" s="14" t="inlineStr">
        <is>
          <t>큰/테마 대표 가구</t>
        </is>
      </c>
      <c r="F78" s="10" t="n">
        <v>520</v>
      </c>
      <c r="G78" s="10" t="n">
        <v>25</v>
      </c>
      <c r="H78" s="10">
        <f>IF(F78=0,"기본 지급",ROUND(F78/$B$1,1))</f>
        <v/>
      </c>
      <c r="J78" s="10" t="inlineStr">
        <is>
          <t>room-assets-themes</t>
        </is>
      </c>
    </row>
    <row r="79" ht="15" customHeight="1" s="11">
      <c r="A79" s="10" t="inlineStr">
        <is>
          <t>cafe_table</t>
        </is>
      </c>
      <c r="B79" s="14" t="inlineStr">
        <is>
          <t>원형 카페 테이블</t>
        </is>
      </c>
      <c r="C79" s="10" t="inlineStr">
        <is>
          <t>cat_cafe</t>
        </is>
      </c>
      <c r="D79" s="14" t="inlineStr">
        <is>
          <t>가구</t>
        </is>
      </c>
      <c r="E79" s="14" t="inlineStr">
        <is>
          <t>일반 가구</t>
        </is>
      </c>
      <c r="F79" s="10" t="n">
        <v>240</v>
      </c>
      <c r="G79" s="10" t="n">
        <v>10</v>
      </c>
      <c r="H79" s="10">
        <f>IF(F79=0,"기본 지급",ROUND(F79/$B$1,1))</f>
        <v/>
      </c>
      <c r="I79" s="10" t="inlineStr">
        <is>
          <t>roomUnlockGift:cat_cafe</t>
        </is>
      </c>
      <c r="J79" s="10" t="inlineStr">
        <is>
          <t>room-assets-themes</t>
        </is>
      </c>
    </row>
    <row r="80" ht="15" customHeight="1" s="11">
      <c r="A80" s="10" t="inlineStr">
        <is>
          <t>heart_chair</t>
        </is>
      </c>
      <c r="B80" s="14" t="inlineStr">
        <is>
          <t>하트 의자</t>
        </is>
      </c>
      <c r="C80" s="10" t="inlineStr">
        <is>
          <t>cat_cafe</t>
        </is>
      </c>
      <c r="D80" s="14" t="inlineStr">
        <is>
          <t>가구</t>
        </is>
      </c>
      <c r="E80" s="14" t="inlineStr">
        <is>
          <t>일반 가구</t>
        </is>
      </c>
      <c r="F80" s="10" t="n">
        <v>200</v>
      </c>
      <c r="G80" s="10" t="n">
        <v>10</v>
      </c>
      <c r="H80" s="10">
        <f>IF(F80=0,"기본 지급",ROUND(F80/$B$1,1))</f>
        <v/>
      </c>
      <c r="I80" s="10" t="inlineStr">
        <is>
          <t>roomUnlockGift:cat_cafe</t>
        </is>
      </c>
      <c r="J80" s="10" t="inlineStr">
        <is>
          <t>room-assets-themes</t>
        </is>
      </c>
    </row>
    <row r="81" ht="15" customHeight="1" s="11">
      <c r="A81" s="10" t="inlineStr">
        <is>
          <t>bar_stool</t>
        </is>
      </c>
      <c r="B81" s="14" t="inlineStr">
        <is>
          <t>바 스툴</t>
        </is>
      </c>
      <c r="C81" s="10" t="inlineStr">
        <is>
          <t>cat_cafe</t>
        </is>
      </c>
      <c r="D81" s="14" t="inlineStr">
        <is>
          <t>가구</t>
        </is>
      </c>
      <c r="E81" s="14" t="inlineStr">
        <is>
          <t>일반 가구</t>
        </is>
      </c>
      <c r="F81" s="10" t="n">
        <v>200</v>
      </c>
      <c r="G81" s="10" t="n">
        <v>10</v>
      </c>
      <c r="H81" s="10">
        <f>IF(F81=0,"기본 지급",ROUND(F81/$B$1,1))</f>
        <v/>
      </c>
      <c r="J81" s="10" t="inlineStr">
        <is>
          <t>room-assets-themes</t>
        </is>
      </c>
    </row>
    <row r="82" ht="15" customHeight="1" s="11">
      <c r="A82" s="10" t="inlineStr">
        <is>
          <t>chalk_stand</t>
        </is>
      </c>
      <c r="B82" s="14" t="inlineStr">
        <is>
          <t>칠판 입간판</t>
        </is>
      </c>
      <c r="C82" s="10" t="inlineStr">
        <is>
          <t>cat_cafe</t>
        </is>
      </c>
      <c r="D82" s="14" t="inlineStr">
        <is>
          <t>소품</t>
        </is>
      </c>
      <c r="E82" s="14" t="inlineStr">
        <is>
          <t>작은 소품</t>
        </is>
      </c>
      <c r="F82" s="10" t="n">
        <v>80</v>
      </c>
      <c r="G82" s="10" t="n">
        <v>4</v>
      </c>
      <c r="H82" s="10">
        <f>IF(F82=0,"기본 지급",ROUND(F82/$B$1,1))</f>
        <v/>
      </c>
      <c r="I82" s="10" t="inlineStr">
        <is>
          <t>roomUnlockGift:cat_cafe</t>
        </is>
      </c>
      <c r="J82" s="10" t="inlineStr">
        <is>
          <t>room-assets-themes</t>
        </is>
      </c>
    </row>
    <row r="83" ht="15" customHeight="1" s="11">
      <c r="A83" s="10" t="inlineStr">
        <is>
          <t>bread_rack</t>
        </is>
      </c>
      <c r="B83" s="14" t="inlineStr">
        <is>
          <t>빵 진열대</t>
        </is>
      </c>
      <c r="C83" s="10" t="inlineStr">
        <is>
          <t>cat_cafe</t>
        </is>
      </c>
      <c r="D83" s="14" t="inlineStr">
        <is>
          <t>가구</t>
        </is>
      </c>
      <c r="E83" s="14" t="inlineStr">
        <is>
          <t>일반 가구</t>
        </is>
      </c>
      <c r="F83" s="10" t="n">
        <v>320</v>
      </c>
      <c r="G83" s="10" t="n">
        <v>10</v>
      </c>
      <c r="H83" s="10">
        <f>IF(F83=0,"기본 지급",ROUND(F83/$B$1,1))</f>
        <v/>
      </c>
      <c r="J83" s="10" t="inlineStr">
        <is>
          <t>room-assets-themes</t>
        </is>
      </c>
    </row>
    <row r="84" ht="15" customHeight="1" s="11">
      <c r="A84" s="10" t="inlineStr">
        <is>
          <t>bean_sack</t>
        </is>
      </c>
      <c r="B84" s="14" t="inlineStr">
        <is>
          <t>커피콩 자루</t>
        </is>
      </c>
      <c r="C84" s="10" t="inlineStr">
        <is>
          <t>cat_cafe</t>
        </is>
      </c>
      <c r="D84" s="14" t="inlineStr">
        <is>
          <t>소품</t>
        </is>
      </c>
      <c r="E84" s="14" t="inlineStr">
        <is>
          <t>작은 소품</t>
        </is>
      </c>
      <c r="F84" s="10" t="n">
        <v>80</v>
      </c>
      <c r="G84" s="10" t="n">
        <v>4</v>
      </c>
      <c r="H84" s="10">
        <f>IF(F84=0,"기본 지급",ROUND(F84/$B$1,1))</f>
        <v/>
      </c>
      <c r="J84" s="10" t="inlineStr">
        <is>
          <t>room-assets-themes</t>
        </is>
      </c>
    </row>
    <row r="85" ht="15" customHeight="1" s="11">
      <c r="A85" s="10" t="inlineStr">
        <is>
          <t>olive_tree</t>
        </is>
      </c>
      <c r="B85" s="14" t="inlineStr">
        <is>
          <t>올리브 나무</t>
        </is>
      </c>
      <c r="C85" s="10" t="inlineStr">
        <is>
          <t>cat_cafe</t>
        </is>
      </c>
      <c r="D85" s="14" t="inlineStr">
        <is>
          <t>소품</t>
        </is>
      </c>
      <c r="E85" s="14" t="inlineStr">
        <is>
          <t>작은 소품</t>
        </is>
      </c>
      <c r="F85" s="10" t="n">
        <v>150</v>
      </c>
      <c r="G85" s="10" t="n">
        <v>4</v>
      </c>
      <c r="H85" s="10">
        <f>IF(F85=0,"기본 지급",ROUND(F85/$B$1,1))</f>
        <v/>
      </c>
      <c r="J85" s="10" t="inlineStr">
        <is>
          <t>room-assets-themes</t>
        </is>
      </c>
    </row>
    <row r="86" ht="17.15" customHeight="1" s="11">
      <c r="A86" s="10" t="inlineStr">
        <is>
          <t>cup_cattower</t>
        </is>
      </c>
      <c r="B86" s="14" t="inlineStr">
        <is>
          <t>컵 캣타워</t>
        </is>
      </c>
      <c r="C86" s="10" t="inlineStr">
        <is>
          <t>cat_cafe</t>
        </is>
      </c>
      <c r="D86" s="14" t="inlineStr">
        <is>
          <t>가구</t>
        </is>
      </c>
      <c r="E86" s="14" t="inlineStr">
        <is>
          <t>큰/테마 대표 가구</t>
        </is>
      </c>
      <c r="F86" s="10" t="n">
        <v>650</v>
      </c>
      <c r="G86" s="10" t="n">
        <v>25</v>
      </c>
      <c r="H86" s="10">
        <f>IF(F86=0,"기본 지급",ROUND(F86/$B$1,1))</f>
        <v/>
      </c>
      <c r="J86" s="10" t="inlineStr">
        <is>
          <t>room-assets-themes</t>
        </is>
      </c>
    </row>
    <row r="87" ht="17.15" customHeight="1" s="11">
      <c r="A87" s="10" t="inlineStr">
        <is>
          <t>window_bench</t>
        </is>
      </c>
      <c r="B87" s="14" t="inlineStr">
        <is>
          <t>창가 벤치 소파</t>
        </is>
      </c>
      <c r="C87" s="10" t="inlineStr">
        <is>
          <t>cat_cafe</t>
        </is>
      </c>
      <c r="D87" s="14" t="inlineStr">
        <is>
          <t>가구</t>
        </is>
      </c>
      <c r="E87" s="14" t="inlineStr">
        <is>
          <t>큰/테마 대표 가구</t>
        </is>
      </c>
      <c r="F87" s="10" t="n">
        <v>600</v>
      </c>
      <c r="G87" s="10" t="n">
        <v>25</v>
      </c>
      <c r="H87" s="10">
        <f>IF(F87=0,"기본 지급",ROUND(F87/$B$1,1))</f>
        <v/>
      </c>
      <c r="J87" s="10" t="inlineStr">
        <is>
          <t>room-assets-themes</t>
        </is>
      </c>
    </row>
    <row r="88" ht="15" customHeight="1" s="11">
      <c r="A88" s="10" t="inlineStr">
        <is>
          <t>mug_cart</t>
        </is>
      </c>
      <c r="B88" s="14" t="inlineStr">
        <is>
          <t>머그 카트</t>
        </is>
      </c>
      <c r="C88" s="10" t="inlineStr">
        <is>
          <t>cat_cafe</t>
        </is>
      </c>
      <c r="D88" s="14" t="inlineStr">
        <is>
          <t>가구</t>
        </is>
      </c>
      <c r="E88" s="14" t="inlineStr">
        <is>
          <t>일반 가구</t>
        </is>
      </c>
      <c r="F88" s="10" t="n">
        <v>280</v>
      </c>
      <c r="G88" s="10" t="n">
        <v>10</v>
      </c>
      <c r="H88" s="10">
        <f>IF(F88=0,"기본 지급",ROUND(F88/$B$1,1))</f>
        <v/>
      </c>
      <c r="J88" s="10" t="inlineStr">
        <is>
          <t>room-assets-themes</t>
        </is>
      </c>
    </row>
    <row r="89" ht="15" customHeight="1" s="11">
      <c r="A89" s="10" t="inlineStr">
        <is>
          <t>cookie_jar</t>
        </is>
      </c>
      <c r="B89" s="14" t="inlineStr">
        <is>
          <t>쿠키 병</t>
        </is>
      </c>
      <c r="C89" s="10" t="inlineStr">
        <is>
          <t>cat_cafe</t>
        </is>
      </c>
      <c r="D89" s="14" t="inlineStr">
        <is>
          <t>소품</t>
        </is>
      </c>
      <c r="E89" s="14" t="inlineStr">
        <is>
          <t>작은 소품</t>
        </is>
      </c>
      <c r="F89" s="10" t="n">
        <v>80</v>
      </c>
      <c r="G89" s="10" t="n">
        <v>4</v>
      </c>
      <c r="H89" s="10">
        <f>IF(F89=0,"기본 지급",ROUND(F89/$B$1,1))</f>
        <v/>
      </c>
      <c r="J89" s="10" t="inlineStr">
        <is>
          <t>room-assets-themes</t>
        </is>
      </c>
    </row>
    <row r="90" ht="15" customHeight="1" s="11">
      <c r="A90" s="10" t="inlineStr">
        <is>
          <t>catface_lamp</t>
        </is>
      </c>
      <c r="B90" s="14" t="inlineStr">
        <is>
          <t>냥이 얼굴 조명</t>
        </is>
      </c>
      <c r="C90" s="10" t="inlineStr">
        <is>
          <t>cat_cafe</t>
        </is>
      </c>
      <c r="D90" s="14" t="inlineStr">
        <is>
          <t>소품</t>
        </is>
      </c>
      <c r="E90" s="14" t="inlineStr">
        <is>
          <t>작은 소품</t>
        </is>
      </c>
      <c r="F90" s="10" t="n">
        <v>140</v>
      </c>
      <c r="G90" s="10" t="n">
        <v>4</v>
      </c>
      <c r="H90" s="10">
        <f>IF(F90=0,"기본 지급",ROUND(F90/$B$1,1))</f>
        <v/>
      </c>
      <c r="J90" s="10" t="inlineStr">
        <is>
          <t>room-assets-themes</t>
        </is>
      </c>
    </row>
    <row r="91" ht="17.15" customHeight="1" s="11">
      <c r="A91" s="10" t="inlineStr">
        <is>
          <t>food_vending</t>
        </is>
      </c>
      <c r="B91" s="14" t="inlineStr">
        <is>
          <t>간식 자판기</t>
        </is>
      </c>
      <c r="C91" s="10" t="inlineStr">
        <is>
          <t>cat_cafe</t>
        </is>
      </c>
      <c r="D91" s="14" t="inlineStr">
        <is>
          <t>가구</t>
        </is>
      </c>
      <c r="E91" s="14" t="inlineStr">
        <is>
          <t>큰/테마 대표 가구</t>
        </is>
      </c>
      <c r="F91" s="10" t="n">
        <v>500</v>
      </c>
      <c r="G91" s="10" t="n">
        <v>25</v>
      </c>
      <c r="H91" s="10">
        <f>IF(F91=0,"기본 지급",ROUND(F91/$B$1,1))</f>
        <v/>
      </c>
      <c r="J91" s="10" t="inlineStr">
        <is>
          <t>room-assets-themes</t>
        </is>
      </c>
    </row>
    <row r="92" ht="17.15" customHeight="1" s="11">
      <c r="A92" s="10" t="inlineStr">
        <is>
          <t>sakura_tree</t>
        </is>
      </c>
      <c r="B92" s="14" t="inlineStr">
        <is>
          <t>벚꽃 나무</t>
        </is>
      </c>
      <c r="C92" s="10" t="inlineStr">
        <is>
          <t>sakura_greenhouse</t>
        </is>
      </c>
      <c r="D92" s="14" t="inlineStr">
        <is>
          <t>가구</t>
        </is>
      </c>
      <c r="E92" s="14" t="inlineStr">
        <is>
          <t>큰/테마 대표 가구</t>
        </is>
      </c>
      <c r="F92" s="10" t="n">
        <v>900</v>
      </c>
      <c r="G92" s="10" t="n">
        <v>25</v>
      </c>
      <c r="H92" s="10">
        <f>IF(F92=0,"기본 지급",ROUND(F92/$B$1,1))</f>
        <v/>
      </c>
      <c r="J92" s="10" t="inlineStr">
        <is>
          <t>room-assets-themes</t>
        </is>
      </c>
    </row>
    <row r="93" ht="17.15" customHeight="1" s="11">
      <c r="A93" s="10" t="inlineStr">
        <is>
          <t>garden_bench</t>
        </is>
      </c>
      <c r="B93" s="14" t="inlineStr">
        <is>
          <t>화이트 정원 벤치</t>
        </is>
      </c>
      <c r="C93" s="10" t="inlineStr">
        <is>
          <t>sakura_greenhouse</t>
        </is>
      </c>
      <c r="D93" s="14" t="inlineStr">
        <is>
          <t>가구</t>
        </is>
      </c>
      <c r="E93" s="14" t="inlineStr">
        <is>
          <t>큰/테마 대표 가구</t>
        </is>
      </c>
      <c r="F93" s="10" t="n">
        <v>500</v>
      </c>
      <c r="G93" s="10" t="n">
        <v>25</v>
      </c>
      <c r="H93" s="10">
        <f>IF(F93=0,"기본 지급",ROUND(F93/$B$1,1))</f>
        <v/>
      </c>
      <c r="J93" s="10" t="inlineStr">
        <is>
          <t>room-assets-themes</t>
        </is>
      </c>
    </row>
    <row r="94" ht="17.15" customHeight="1" s="11">
      <c r="A94" s="10" t="inlineStr">
        <is>
          <t>koi_pond</t>
        </is>
      </c>
      <c r="B94" s="14" t="inlineStr">
        <is>
          <t>잉어 연못</t>
        </is>
      </c>
      <c r="C94" s="10" t="inlineStr">
        <is>
          <t>sakura_greenhouse</t>
        </is>
      </c>
      <c r="D94" s="14" t="inlineStr">
        <is>
          <t>가구</t>
        </is>
      </c>
      <c r="E94" s="14" t="inlineStr">
        <is>
          <t>큰/테마 대표 가구</t>
        </is>
      </c>
      <c r="F94" s="10" t="n">
        <v>800</v>
      </c>
      <c r="G94" s="10" t="n">
        <v>25</v>
      </c>
      <c r="H94" s="10">
        <f>IF(F94=0,"기본 지급",ROUND(F94/$B$1,1))</f>
        <v/>
      </c>
      <c r="J94" s="10" t="inlineStr">
        <is>
          <t>room-assets-themes</t>
        </is>
      </c>
    </row>
    <row r="95" ht="15" customHeight="1" s="11">
      <c r="A95" s="10" t="inlineStr">
        <is>
          <t>tulip_planter</t>
        </is>
      </c>
      <c r="B95" s="14" t="inlineStr">
        <is>
          <t>튤립 화분상자</t>
        </is>
      </c>
      <c r="C95" s="10" t="inlineStr">
        <is>
          <t>sakura_greenhouse</t>
        </is>
      </c>
      <c r="D95" s="14" t="inlineStr">
        <is>
          <t>소품</t>
        </is>
      </c>
      <c r="E95" s="14" t="inlineStr">
        <is>
          <t>작은 소품</t>
        </is>
      </c>
      <c r="F95" s="10" t="n">
        <v>110</v>
      </c>
      <c r="G95" s="10" t="n">
        <v>4</v>
      </c>
      <c r="H95" s="10">
        <f>IF(F95=0,"기본 지급",ROUND(F95/$B$1,1))</f>
        <v/>
      </c>
      <c r="I95" s="10" t="inlineStr">
        <is>
          <t>roomUnlockGift:sakura_greenhouse</t>
        </is>
      </c>
      <c r="J95" s="10" t="inlineStr">
        <is>
          <t>room-assets-themes</t>
        </is>
      </c>
    </row>
    <row r="96" ht="15" customHeight="1" s="11">
      <c r="A96" s="10" t="inlineStr">
        <is>
          <t>tea_table_white</t>
        </is>
      </c>
      <c r="B96" s="14" t="inlineStr">
        <is>
          <t>화이트 티테이블</t>
        </is>
      </c>
      <c r="C96" s="10" t="inlineStr">
        <is>
          <t>sakura_greenhouse</t>
        </is>
      </c>
      <c r="D96" s="14" t="inlineStr">
        <is>
          <t>가구</t>
        </is>
      </c>
      <c r="E96" s="14" t="inlineStr">
        <is>
          <t>일반 가구</t>
        </is>
      </c>
      <c r="F96" s="10" t="n">
        <v>220</v>
      </c>
      <c r="G96" s="10" t="n">
        <v>10</v>
      </c>
      <c r="H96" s="10">
        <f>IF(F96=0,"기본 지급",ROUND(F96/$B$1,1))</f>
        <v/>
      </c>
      <c r="I96" s="10" t="inlineStr">
        <is>
          <t>roomUnlockGift:sakura_greenhouse</t>
        </is>
      </c>
      <c r="J96" s="10" t="inlineStr">
        <is>
          <t>room-assets-themes</t>
        </is>
      </c>
    </row>
    <row r="97" ht="17.15" customHeight="1" s="11">
      <c r="A97" s="10" t="inlineStr">
        <is>
          <t>garden_swing</t>
        </is>
      </c>
      <c r="B97" s="14" t="inlineStr">
        <is>
          <t>정원 그네</t>
        </is>
      </c>
      <c r="C97" s="10" t="inlineStr">
        <is>
          <t>sakura_greenhouse</t>
        </is>
      </c>
      <c r="D97" s="14" t="inlineStr">
        <is>
          <t>가구</t>
        </is>
      </c>
      <c r="E97" s="14" t="inlineStr">
        <is>
          <t>큰/테마 대표 가구</t>
        </is>
      </c>
      <c r="F97" s="10" t="n">
        <v>700</v>
      </c>
      <c r="G97" s="10" t="n">
        <v>25</v>
      </c>
      <c r="H97" s="10">
        <f>IF(F97=0,"기본 지급",ROUND(F97/$B$1,1))</f>
        <v/>
      </c>
      <c r="J97" s="10" t="inlineStr">
        <is>
          <t>room-assets-themes</t>
        </is>
      </c>
    </row>
    <row r="98" ht="15" customHeight="1" s="11">
      <c r="A98" s="10" t="inlineStr">
        <is>
          <t>watering_can</t>
        </is>
      </c>
      <c r="B98" s="14" t="inlineStr">
        <is>
          <t>물뿌리개</t>
        </is>
      </c>
      <c r="C98" s="10" t="inlineStr">
        <is>
          <t>sakura_greenhouse</t>
        </is>
      </c>
      <c r="D98" s="14" t="inlineStr">
        <is>
          <t>소품</t>
        </is>
      </c>
      <c r="E98" s="14" t="inlineStr">
        <is>
          <t>작은 소품</t>
        </is>
      </c>
      <c r="F98" s="10" t="n">
        <v>80</v>
      </c>
      <c r="G98" s="10" t="n">
        <v>4</v>
      </c>
      <c r="H98" s="10">
        <f>IF(F98=0,"기본 지급",ROUND(F98/$B$1,1))</f>
        <v/>
      </c>
      <c r="I98" s="10" t="inlineStr">
        <is>
          <t>roomUnlockGift:sakura_greenhouse</t>
        </is>
      </c>
      <c r="J98" s="10" t="inlineStr">
        <is>
          <t>room-assets-themes</t>
        </is>
      </c>
    </row>
    <row r="99" ht="15" customHeight="1" s="11">
      <c r="A99" s="10" t="inlineStr">
        <is>
          <t>stone_lantern</t>
        </is>
      </c>
      <c r="B99" s="14" t="inlineStr">
        <is>
          <t>돌 등롱</t>
        </is>
      </c>
      <c r="C99" s="10" t="inlineStr">
        <is>
          <t>sakura_greenhouse</t>
        </is>
      </c>
      <c r="D99" s="14" t="inlineStr">
        <is>
          <t>소품</t>
        </is>
      </c>
      <c r="E99" s="14" t="inlineStr">
        <is>
          <t>작은 소품</t>
        </is>
      </c>
      <c r="F99" s="10" t="n">
        <v>150</v>
      </c>
      <c r="G99" s="10" t="n">
        <v>4</v>
      </c>
      <c r="H99" s="10">
        <f>IF(F99=0,"기본 지급",ROUND(F99/$B$1,1))</f>
        <v/>
      </c>
      <c r="J99" s="10" t="inlineStr">
        <is>
          <t>room-assets-themes</t>
        </is>
      </c>
    </row>
    <row r="100" ht="15" customHeight="1" s="11">
      <c r="A100" s="10" t="inlineStr">
        <is>
          <t>flower_wheelbarrow</t>
        </is>
      </c>
      <c r="B100" s="14" t="inlineStr">
        <is>
          <t>꽃 수레</t>
        </is>
      </c>
      <c r="C100" s="10" t="inlineStr">
        <is>
          <t>sakura_greenhouse</t>
        </is>
      </c>
      <c r="D100" s="14" t="inlineStr">
        <is>
          <t>소품</t>
        </is>
      </c>
      <c r="E100" s="14" t="inlineStr">
        <is>
          <t>작은 소품</t>
        </is>
      </c>
      <c r="F100" s="10" t="n">
        <v>150</v>
      </c>
      <c r="G100" s="10" t="n">
        <v>4</v>
      </c>
      <c r="H100" s="10">
        <f>IF(F100=0,"기본 지급",ROUND(F100/$B$1,1))</f>
        <v/>
      </c>
      <c r="J100" s="10" t="inlineStr">
        <is>
          <t>room-assets-themes</t>
        </is>
      </c>
    </row>
    <row r="101" ht="15" customHeight="1" s="11">
      <c r="A101" s="10" t="inlineStr">
        <is>
          <t>hydrangea</t>
        </is>
      </c>
      <c r="B101" s="14" t="inlineStr">
        <is>
          <t>수국 화분</t>
        </is>
      </c>
      <c r="C101" s="10" t="inlineStr">
        <is>
          <t>sakura_greenhouse</t>
        </is>
      </c>
      <c r="D101" s="14" t="inlineStr">
        <is>
          <t>소품</t>
        </is>
      </c>
      <c r="E101" s="14" t="inlineStr">
        <is>
          <t>작은 소품</t>
        </is>
      </c>
      <c r="F101" s="10" t="n">
        <v>110</v>
      </c>
      <c r="G101" s="10" t="n">
        <v>4</v>
      </c>
      <c r="H101" s="10">
        <f>IF(F101=0,"기본 지급",ROUND(F101/$B$1,1))</f>
        <v/>
      </c>
      <c r="J101" s="10" t="inlineStr">
        <is>
          <t>room-assets-themes</t>
        </is>
      </c>
    </row>
    <row r="102" ht="15" customHeight="1" s="11">
      <c r="A102" s="10" t="inlineStr">
        <is>
          <t>bird_bath</t>
        </is>
      </c>
      <c r="B102" s="14" t="inlineStr">
        <is>
          <t>새 물그릇</t>
        </is>
      </c>
      <c r="C102" s="10" t="inlineStr">
        <is>
          <t>sakura_greenhouse</t>
        </is>
      </c>
      <c r="D102" s="14" t="inlineStr">
        <is>
          <t>소품</t>
        </is>
      </c>
      <c r="E102" s="14" t="inlineStr">
        <is>
          <t>작은 소품</t>
        </is>
      </c>
      <c r="F102" s="10" t="n">
        <v>130</v>
      </c>
      <c r="G102" s="10" t="n">
        <v>4</v>
      </c>
      <c r="H102" s="10">
        <f>IF(F102=0,"기본 지급",ROUND(F102/$B$1,1))</f>
        <v/>
      </c>
      <c r="J102" s="10" t="inlineStr">
        <is>
          <t>room-assets-themes</t>
        </is>
      </c>
    </row>
    <row r="103" ht="15" customHeight="1" s="11">
      <c r="A103" s="10" t="inlineStr">
        <is>
          <t>picnic_blanket</t>
        </is>
      </c>
      <c r="B103" s="14" t="inlineStr">
        <is>
          <t>피크닉 매트</t>
        </is>
      </c>
      <c r="C103" s="10" t="inlineStr">
        <is>
          <t>sakura_greenhouse</t>
        </is>
      </c>
      <c r="D103" s="14" t="inlineStr">
        <is>
          <t>가구</t>
        </is>
      </c>
      <c r="E103" s="14" t="inlineStr">
        <is>
          <t>일반 가구</t>
        </is>
      </c>
      <c r="F103" s="10" t="n">
        <v>300</v>
      </c>
      <c r="G103" s="10" t="n">
        <v>10</v>
      </c>
      <c r="H103" s="10">
        <f>IF(F103=0,"기본 지급",ROUND(F103/$B$1,1))</f>
        <v/>
      </c>
      <c r="J103" s="10" t="inlineStr">
        <is>
          <t>room-assets-themes</t>
        </is>
      </c>
    </row>
    <row r="104" ht="17.15" customHeight="1" s="11">
      <c r="A104" s="10" t="inlineStr">
        <is>
          <t>mini_bridge</t>
        </is>
      </c>
      <c r="B104" s="14" t="inlineStr">
        <is>
          <t>미니 다리</t>
        </is>
      </c>
      <c r="C104" s="10" t="inlineStr">
        <is>
          <t>sakura_greenhouse</t>
        </is>
      </c>
      <c r="D104" s="14" t="inlineStr">
        <is>
          <t>가구</t>
        </is>
      </c>
      <c r="E104" s="14" t="inlineStr">
        <is>
          <t>큰/테마 대표 가구</t>
        </is>
      </c>
      <c r="F104" s="10" t="n">
        <v>550</v>
      </c>
      <c r="G104" s="10" t="n">
        <v>25</v>
      </c>
      <c r="H104" s="10">
        <f>IF(F104=0,"기본 지급",ROUND(F104/$B$1,1))</f>
        <v/>
      </c>
      <c r="J104" s="10" t="inlineStr">
        <is>
          <t>room-assets-themes</t>
        </is>
      </c>
    </row>
    <row r="105" ht="15" customHeight="1" s="11">
      <c r="A105" s="10" t="inlineStr">
        <is>
          <t>flower_arch</t>
        </is>
      </c>
      <c r="B105" s="14" t="inlineStr">
        <is>
          <t>꽃 아치</t>
        </is>
      </c>
      <c r="C105" s="10" t="inlineStr">
        <is>
          <t>sakura_greenhouse</t>
        </is>
      </c>
      <c r="D105" s="14" t="inlineStr">
        <is>
          <t>가구</t>
        </is>
      </c>
      <c r="E105" s="14" t="inlineStr">
        <is>
          <t>일반 가구</t>
        </is>
      </c>
      <c r="F105" s="10" t="n">
        <v>320</v>
      </c>
      <c r="G105" s="10" t="n">
        <v>10</v>
      </c>
      <c r="H105" s="10">
        <f>IF(F105=0,"기본 지급",ROUND(F105/$B$1,1))</f>
        <v/>
      </c>
      <c r="J105" s="10" t="inlineStr">
        <is>
          <t>room-assets-themes</t>
        </is>
      </c>
    </row>
    <row r="106" ht="17.15" customHeight="1" s="11">
      <c r="A106" s="10" t="inlineStr">
        <is>
          <t>cat_hammock</t>
        </is>
      </c>
      <c r="B106" s="14" t="inlineStr">
        <is>
          <t>냥이 해먹</t>
        </is>
      </c>
      <c r="C106" s="10" t="inlineStr">
        <is>
          <t>sakura_greenhouse</t>
        </is>
      </c>
      <c r="D106" s="14" t="inlineStr">
        <is>
          <t>가구</t>
        </is>
      </c>
      <c r="E106" s="14" t="inlineStr">
        <is>
          <t>큰/테마 대표 가구</t>
        </is>
      </c>
      <c r="F106" s="10" t="n">
        <v>600</v>
      </c>
      <c r="G106" s="10" t="n">
        <v>25</v>
      </c>
      <c r="H106" s="10">
        <f>IF(F106=0,"기본 지급",ROUND(F106/$B$1,1))</f>
        <v/>
      </c>
      <c r="J106" s="10" t="inlineStr">
        <is>
          <t>room-assets-themes</t>
        </is>
      </c>
    </row>
    <row r="107" ht="15" customHeight="1" s="11">
      <c r="A107" s="10" t="inlineStr">
        <is>
          <t>succulent_stand</t>
        </is>
      </c>
      <c r="B107" s="14" t="inlineStr">
        <is>
          <t>다육이 선반</t>
        </is>
      </c>
      <c r="C107" s="10" t="inlineStr">
        <is>
          <t>sakura_greenhouse</t>
        </is>
      </c>
      <c r="D107" s="14" t="inlineStr">
        <is>
          <t>소품</t>
        </is>
      </c>
      <c r="E107" s="14" t="inlineStr">
        <is>
          <t>작은 소품</t>
        </is>
      </c>
      <c r="F107" s="10" t="n">
        <v>120</v>
      </c>
      <c r="G107" s="10" t="n">
        <v>4</v>
      </c>
      <c r="H107" s="10">
        <f>IF(F107=0,"기본 지급",ROUND(F107/$B$1,1))</f>
        <v/>
      </c>
      <c r="J107" s="10" t="inlineStr">
        <is>
          <t>room-assets-themes</t>
        </is>
      </c>
    </row>
    <row r="108" ht="15" customHeight="1" s="11">
      <c r="A108" s="10" t="inlineStr">
        <is>
          <t>menu_board</t>
        </is>
      </c>
      <c r="B108" s="14" t="inlineStr">
        <is>
          <t>메뉴 보드</t>
        </is>
      </c>
      <c r="C108" s="10" t="inlineStr">
        <is>
          <t>cat_cafe</t>
        </is>
      </c>
      <c r="D108" s="14" t="inlineStr">
        <is>
          <t>벽 꾸미기</t>
        </is>
      </c>
      <c r="E108" s="14" t="inlineStr">
        <is>
          <t>벽 꾸미기</t>
        </is>
      </c>
      <c r="F108" s="10" t="n">
        <v>160</v>
      </c>
      <c r="G108" s="10" t="n">
        <v>6</v>
      </c>
      <c r="H108" s="10">
        <f>IF(F108=0,"기본 지급",ROUND(F108/$B$1,1))</f>
        <v/>
      </c>
      <c r="I108" s="10" t="inlineStr">
        <is>
          <t>roomUnlockGift:cat_cafe</t>
        </is>
      </c>
      <c r="J108" s="10" t="inlineStr">
        <is>
          <t>room-assets-themes</t>
        </is>
      </c>
    </row>
    <row r="109" ht="15" customHeight="1" s="11">
      <c r="A109" s="10" t="inlineStr">
        <is>
          <t>cat_clock_cafe</t>
        </is>
      </c>
      <c r="B109" s="14" t="inlineStr">
        <is>
          <t>냥이 벽시계</t>
        </is>
      </c>
      <c r="C109" s="10" t="inlineStr">
        <is>
          <t>cat_cafe</t>
        </is>
      </c>
      <c r="D109" s="14" t="inlineStr">
        <is>
          <t>벽 꾸미기</t>
        </is>
      </c>
      <c r="E109" s="14" t="inlineStr">
        <is>
          <t>벽 꾸미기</t>
        </is>
      </c>
      <c r="F109" s="10" t="n">
        <v>180</v>
      </c>
      <c r="G109" s="10" t="n">
        <v>6</v>
      </c>
      <c r="H109" s="10">
        <f>IF(F109=0,"기본 지급",ROUND(F109/$B$1,1))</f>
        <v/>
      </c>
      <c r="J109" s="10" t="inlineStr">
        <is>
          <t>room-assets-themes</t>
        </is>
      </c>
    </row>
    <row r="110" ht="15" customHeight="1" s="11">
      <c r="A110" s="10" t="inlineStr">
        <is>
          <t>mug_shelf</t>
        </is>
      </c>
      <c r="B110" s="14" t="inlineStr">
        <is>
          <t>머그 선반</t>
        </is>
      </c>
      <c r="C110" s="10" t="inlineStr">
        <is>
          <t>cat_cafe</t>
        </is>
      </c>
      <c r="D110" s="14" t="inlineStr">
        <is>
          <t>벽 꾸미기</t>
        </is>
      </c>
      <c r="E110" s="14" t="inlineStr">
        <is>
          <t>벽 꾸미기</t>
        </is>
      </c>
      <c r="F110" s="10" t="n">
        <v>140</v>
      </c>
      <c r="G110" s="10" t="n">
        <v>6</v>
      </c>
      <c r="H110" s="10">
        <f>IF(F110=0,"기본 지급",ROUND(F110/$B$1,1))</f>
        <v/>
      </c>
      <c r="J110" s="10" t="inlineStr">
        <is>
          <t>room-assets-themes</t>
        </is>
      </c>
    </row>
    <row r="111" ht="15" customHeight="1" s="11">
      <c r="A111" s="10" t="inlineStr">
        <is>
          <t>pendant_lamps</t>
        </is>
      </c>
      <c r="B111" s="14" t="inlineStr">
        <is>
          <t>펜던트 조명</t>
        </is>
      </c>
      <c r="C111" s="10" t="inlineStr">
        <is>
          <t>cat_cafe</t>
        </is>
      </c>
      <c r="D111" s="14" t="inlineStr">
        <is>
          <t>벽 꾸미기</t>
        </is>
      </c>
      <c r="E111" s="14" t="inlineStr">
        <is>
          <t>벽 꾸미기</t>
        </is>
      </c>
      <c r="F111" s="10" t="n">
        <v>220</v>
      </c>
      <c r="G111" s="10" t="n">
        <v>6</v>
      </c>
      <c r="H111" s="10">
        <f>IF(F111=0,"기본 지급",ROUND(F111/$B$1,1))</f>
        <v/>
      </c>
      <c r="J111" s="10" t="inlineStr">
        <is>
          <t>room-assets-themes</t>
        </is>
      </c>
    </row>
    <row r="112" ht="15" customHeight="1" s="11">
      <c r="A112" s="10" t="inlineStr">
        <is>
          <t>cup_neon</t>
        </is>
      </c>
      <c r="B112" s="14" t="inlineStr">
        <is>
          <t>커피잔 네온</t>
        </is>
      </c>
      <c r="C112" s="10" t="inlineStr">
        <is>
          <t>cat_cafe</t>
        </is>
      </c>
      <c r="D112" s="14" t="inlineStr">
        <is>
          <t>벽 꾸미기</t>
        </is>
      </c>
      <c r="E112" s="14" t="inlineStr">
        <is>
          <t>벽 꾸미기</t>
        </is>
      </c>
      <c r="F112" s="10" t="n">
        <v>240</v>
      </c>
      <c r="G112" s="10" t="n">
        <v>6</v>
      </c>
      <c r="H112" s="10">
        <f>IF(F112=0,"기본 지급",ROUND(F112/$B$1,1))</f>
        <v/>
      </c>
      <c r="J112" s="10" t="inlineStr">
        <is>
          <t>room-assets-themes</t>
        </is>
      </c>
    </row>
    <row r="113" ht="15" customHeight="1" s="11">
      <c r="A113" s="10" t="inlineStr">
        <is>
          <t>awning</t>
        </is>
      </c>
      <c r="B113" s="14" t="inlineStr">
        <is>
          <t>줄무늬 차양</t>
        </is>
      </c>
      <c r="C113" s="10" t="inlineStr">
        <is>
          <t>cat_cafe</t>
        </is>
      </c>
      <c r="D113" s="14" t="inlineStr">
        <is>
          <t>벽 꾸미기</t>
        </is>
      </c>
      <c r="E113" s="14" t="inlineStr">
        <is>
          <t>벽 꾸미기</t>
        </is>
      </c>
      <c r="F113" s="10" t="n">
        <v>200</v>
      </c>
      <c r="G113" s="10" t="n">
        <v>6</v>
      </c>
      <c r="H113" s="10">
        <f>IF(F113=0,"기본 지급",ROUND(F113/$B$1,1))</f>
        <v/>
      </c>
      <c r="J113" s="10" t="inlineStr">
        <is>
          <t>room-assets-themes</t>
        </is>
      </c>
    </row>
    <row r="114" ht="15" customHeight="1" s="11">
      <c r="A114" s="10" t="inlineStr">
        <is>
          <t>latte_art_frame</t>
        </is>
      </c>
      <c r="B114" s="14" t="inlineStr">
        <is>
          <t>라떼아트 액자</t>
        </is>
      </c>
      <c r="C114" s="10" t="inlineStr">
        <is>
          <t>cat_cafe</t>
        </is>
      </c>
      <c r="D114" s="14" t="inlineStr">
        <is>
          <t>벽 꾸미기</t>
        </is>
      </c>
      <c r="E114" s="14" t="inlineStr">
        <is>
          <t>벽 꾸미기</t>
        </is>
      </c>
      <c r="F114" s="10" t="n">
        <v>120</v>
      </c>
      <c r="G114" s="10" t="n">
        <v>6</v>
      </c>
      <c r="H114" s="10">
        <f>IF(F114=0,"기본 지급",ROUND(F114/$B$1,1))</f>
        <v/>
      </c>
      <c r="J114" s="10" t="inlineStr">
        <is>
          <t>room-assets-themes</t>
        </is>
      </c>
    </row>
    <row r="115" ht="15" customHeight="1" s="11">
      <c r="A115" s="10" t="inlineStr">
        <is>
          <t>paw_garland</t>
        </is>
      </c>
      <c r="B115" s="14" t="inlineStr">
        <is>
          <t>발바닥 가랜드</t>
        </is>
      </c>
      <c r="C115" s="10" t="inlineStr">
        <is>
          <t>cat_cafe</t>
        </is>
      </c>
      <c r="D115" s="14" t="inlineStr">
        <is>
          <t>벽 꾸미기</t>
        </is>
      </c>
      <c r="E115" s="14" t="inlineStr">
        <is>
          <t>벽 꾸미기</t>
        </is>
      </c>
      <c r="F115" s="10" t="n">
        <v>110</v>
      </c>
      <c r="G115" s="10" t="n">
        <v>6</v>
      </c>
      <c r="H115" s="10">
        <f>IF(F115=0,"기본 지급",ROUND(F115/$B$1,1))</f>
        <v/>
      </c>
      <c r="J115" s="10" t="inlineStr">
        <is>
          <t>room-assets-themes</t>
        </is>
      </c>
    </row>
    <row r="116" ht="15" customHeight="1" s="11">
      <c r="A116" s="10" t="inlineStr">
        <is>
          <t>greenhouse_window</t>
        </is>
      </c>
      <c r="B116" s="14" t="inlineStr">
        <is>
          <t>온실 아치창</t>
        </is>
      </c>
      <c r="C116" s="10" t="inlineStr">
        <is>
          <t>sakura_greenhouse</t>
        </is>
      </c>
      <c r="D116" s="14" t="inlineStr">
        <is>
          <t>벽 꾸미기</t>
        </is>
      </c>
      <c r="E116" s="14" t="inlineStr">
        <is>
          <t>벽 꾸미기</t>
        </is>
      </c>
      <c r="F116" s="10" t="n">
        <v>250</v>
      </c>
      <c r="G116" s="10" t="n">
        <v>6</v>
      </c>
      <c r="H116" s="10">
        <f>IF(F116=0,"기본 지급",ROUND(F116/$B$1,1))</f>
        <v/>
      </c>
      <c r="J116" s="10" t="inlineStr">
        <is>
          <t>room-assets-themes</t>
        </is>
      </c>
    </row>
    <row r="117" ht="15" customHeight="1" s="11">
      <c r="A117" s="10" t="inlineStr">
        <is>
          <t>hanging_basket</t>
        </is>
      </c>
      <c r="B117" s="14" t="inlineStr">
        <is>
          <t>행잉 바스켓</t>
        </is>
      </c>
      <c r="C117" s="10" t="inlineStr">
        <is>
          <t>sakura_greenhouse</t>
        </is>
      </c>
      <c r="D117" s="14" t="inlineStr">
        <is>
          <t>벽 꾸미기</t>
        </is>
      </c>
      <c r="E117" s="14" t="inlineStr">
        <is>
          <t>벽 꾸미기</t>
        </is>
      </c>
      <c r="F117" s="10" t="n">
        <v>150</v>
      </c>
      <c r="G117" s="10" t="n">
        <v>6</v>
      </c>
      <c r="H117" s="10">
        <f>IF(F117=0,"기본 지급",ROUND(F117/$B$1,1))</f>
        <v/>
      </c>
      <c r="I117" s="10" t="inlineStr">
        <is>
          <t>roomUnlockGift:sakura_greenhouse</t>
        </is>
      </c>
      <c r="J117" s="10" t="inlineStr">
        <is>
          <t>room-assets-themes</t>
        </is>
      </c>
    </row>
    <row r="118" ht="15" customHeight="1" s="11">
      <c r="A118" s="10" t="inlineStr">
        <is>
          <t>ivy_garland</t>
        </is>
      </c>
      <c r="B118" s="14" t="inlineStr">
        <is>
          <t>아이비 가랜드</t>
        </is>
      </c>
      <c r="C118" s="10" t="inlineStr">
        <is>
          <t>sakura_greenhouse</t>
        </is>
      </c>
      <c r="D118" s="14" t="inlineStr">
        <is>
          <t>벽 꾸미기</t>
        </is>
      </c>
      <c r="E118" s="14" t="inlineStr">
        <is>
          <t>벽 꾸미기</t>
        </is>
      </c>
      <c r="F118" s="10" t="n">
        <v>120</v>
      </c>
      <c r="G118" s="10" t="n">
        <v>6</v>
      </c>
      <c r="H118" s="10">
        <f>IF(F118=0,"기본 지급",ROUND(F118/$B$1,1))</f>
        <v/>
      </c>
      <c r="J118" s="10" t="inlineStr">
        <is>
          <t>room-assets-themes</t>
        </is>
      </c>
    </row>
    <row r="119" ht="15" customHeight="1" s="11">
      <c r="A119" s="10" t="inlineStr">
        <is>
          <t>bird_house</t>
        </is>
      </c>
      <c r="B119" s="14" t="inlineStr">
        <is>
          <t>새집</t>
        </is>
      </c>
      <c r="C119" s="10" t="inlineStr">
        <is>
          <t>sakura_greenhouse</t>
        </is>
      </c>
      <c r="D119" s="14" t="inlineStr">
        <is>
          <t>벽 꾸미기</t>
        </is>
      </c>
      <c r="E119" s="14" t="inlineStr">
        <is>
          <t>벽 꾸미기</t>
        </is>
      </c>
      <c r="F119" s="10" t="n">
        <v>130</v>
      </c>
      <c r="G119" s="10" t="n">
        <v>6</v>
      </c>
      <c r="H119" s="10">
        <f>IF(F119=0,"기본 지급",ROUND(F119/$B$1,1))</f>
        <v/>
      </c>
      <c r="J119" s="10" t="inlineStr">
        <is>
          <t>room-assets-themes</t>
        </is>
      </c>
    </row>
    <row r="120" ht="15" customHeight="1" s="11">
      <c r="A120" s="10" t="inlineStr">
        <is>
          <t>sakura_branch</t>
        </is>
      </c>
      <c r="B120" s="14" t="inlineStr">
        <is>
          <t>벚꽃 가지</t>
        </is>
      </c>
      <c r="C120" s="10" t="inlineStr">
        <is>
          <t>sakura_greenhouse</t>
        </is>
      </c>
      <c r="D120" s="14" t="inlineStr">
        <is>
          <t>벽 꾸미기</t>
        </is>
      </c>
      <c r="E120" s="14" t="inlineStr">
        <is>
          <t>벽 꾸미기</t>
        </is>
      </c>
      <c r="F120" s="10" t="n">
        <v>180</v>
      </c>
      <c r="G120" s="10" t="n">
        <v>6</v>
      </c>
      <c r="H120" s="10">
        <f>IF(F120=0,"기본 지급",ROUND(F120/$B$1,1))</f>
        <v/>
      </c>
      <c r="J120" s="10" t="inlineStr">
        <is>
          <t>room-assets-themes</t>
        </is>
      </c>
    </row>
    <row r="121" ht="15" customHeight="1" s="11">
      <c r="A121" s="10" t="inlineStr">
        <is>
          <t>tool_rack</t>
        </is>
      </c>
      <c r="B121" s="14" t="inlineStr">
        <is>
          <t>정원 도구걸이</t>
        </is>
      </c>
      <c r="C121" s="10" t="inlineStr">
        <is>
          <t>sakura_greenhouse</t>
        </is>
      </c>
      <c r="D121" s="14" t="inlineStr">
        <is>
          <t>벽 꾸미기</t>
        </is>
      </c>
      <c r="E121" s="14" t="inlineStr">
        <is>
          <t>벽 꾸미기</t>
        </is>
      </c>
      <c r="F121" s="10" t="n">
        <v>140</v>
      </c>
      <c r="G121" s="10" t="n">
        <v>6</v>
      </c>
      <c r="H121" s="10">
        <f>IF(F121=0,"기본 지급",ROUND(F121/$B$1,1))</f>
        <v/>
      </c>
      <c r="J121" s="10" t="inlineStr">
        <is>
          <t>room-assets-themes</t>
        </is>
      </c>
    </row>
    <row r="122" ht="15" customHeight="1" s="11">
      <c r="A122" s="10" t="inlineStr">
        <is>
          <t>butterflies</t>
        </is>
      </c>
      <c r="B122" s="14" t="inlineStr">
        <is>
          <t>나비 장식</t>
        </is>
      </c>
      <c r="C122" s="10" t="inlineStr">
        <is>
          <t>sakura_greenhouse</t>
        </is>
      </c>
      <c r="D122" s="14" t="inlineStr">
        <is>
          <t>벽 꾸미기</t>
        </is>
      </c>
      <c r="E122" s="14" t="inlineStr">
        <is>
          <t>벽 꾸미기</t>
        </is>
      </c>
      <c r="F122" s="10" t="n">
        <v>100</v>
      </c>
      <c r="G122" s="10" t="n">
        <v>6</v>
      </c>
      <c r="H122" s="10">
        <f>IF(F122=0,"기본 지급",ROUND(F122/$B$1,1))</f>
        <v/>
      </c>
      <c r="J122" s="10" t="inlineStr">
        <is>
          <t>room-assets-themes</t>
        </is>
      </c>
    </row>
    <row r="123" ht="15" customHeight="1" s="11">
      <c r="A123" s="10" t="inlineStr">
        <is>
          <t>flower_wreath</t>
        </is>
      </c>
      <c r="B123" s="14" t="inlineStr">
        <is>
          <t>꽃 리스</t>
        </is>
      </c>
      <c r="C123" s="10" t="inlineStr">
        <is>
          <t>sakura_greenhouse</t>
        </is>
      </c>
      <c r="D123" s="14" t="inlineStr">
        <is>
          <t>벽 꾸미기</t>
        </is>
      </c>
      <c r="E123" s="14" t="inlineStr">
        <is>
          <t>벽 꾸미기</t>
        </is>
      </c>
      <c r="F123" s="10" t="n">
        <v>120</v>
      </c>
      <c r="G123" s="10" t="n">
        <v>6</v>
      </c>
      <c r="H123" s="10">
        <f>IF(F123=0,"기본 지급",ROUND(F123/$B$1,1))</f>
        <v/>
      </c>
      <c r="J123" s="10" t="inlineStr">
        <is>
          <t>room-assets-themes</t>
        </is>
      </c>
    </row>
    <row r="124" ht="17.15" customHeight="1" s="11">
      <c r="A124" s="10" t="inlineStr">
        <is>
          <t>floor_latte_herring</t>
        </is>
      </c>
      <c r="B124" s="14" t="inlineStr">
        <is>
          <t>라떼 헤링본</t>
        </is>
      </c>
      <c r="C124" s="10" t="inlineStr">
        <is>
          <t>cat_cafe</t>
        </is>
      </c>
      <c r="D124" s="14" t="inlineStr">
        <is>
          <t>바닥</t>
        </is>
      </c>
      <c r="E124" s="14" t="inlineStr">
        <is>
          <t>벽지/바닥</t>
        </is>
      </c>
      <c r="F124" s="10" t="n">
        <v>0</v>
      </c>
      <c r="G124" s="10" t="n">
        <v>8</v>
      </c>
      <c r="H124" s="10">
        <f>IF(F124=0,"기본 지급",ROUND(F124/$B$1,1))</f>
        <v/>
      </c>
      <c r="I124" s="10" t="inlineStr">
        <is>
          <t>roomDefault</t>
        </is>
      </c>
      <c r="J124" s="10" t="inlineStr">
        <is>
          <t>room-assets-themes</t>
        </is>
      </c>
    </row>
    <row r="125" ht="17.15" customHeight="1" s="11">
      <c r="A125" s="10" t="inlineStr">
        <is>
          <t>floor_cocoa_check</t>
        </is>
      </c>
      <c r="B125" s="14" t="inlineStr">
        <is>
          <t>코코아 체크</t>
        </is>
      </c>
      <c r="C125" s="10" t="inlineStr">
        <is>
          <t>cat_cafe</t>
        </is>
      </c>
      <c r="D125" s="14" t="inlineStr">
        <is>
          <t>바닥</t>
        </is>
      </c>
      <c r="E125" s="14" t="inlineStr">
        <is>
          <t>벽지/바닥</t>
        </is>
      </c>
      <c r="F125" s="10" t="n">
        <v>240</v>
      </c>
      <c r="G125" s="10" t="n">
        <v>8</v>
      </c>
      <c r="H125" s="10">
        <f>IF(F125=0,"기본 지급",ROUND(F125/$B$1,1))</f>
        <v/>
      </c>
      <c r="J125" s="10" t="inlineStr">
        <is>
          <t>room-assets-themes</t>
        </is>
      </c>
    </row>
    <row r="126" ht="17.15" customHeight="1" s="11">
      <c r="A126" s="10" t="inlineStr">
        <is>
          <t>floor_terracotta_hex</t>
        </is>
      </c>
      <c r="B126" s="14" t="inlineStr">
        <is>
          <t>테라코타 육각</t>
        </is>
      </c>
      <c r="C126" s="10" t="inlineStr">
        <is>
          <t>cat_cafe</t>
        </is>
      </c>
      <c r="D126" s="14" t="inlineStr">
        <is>
          <t>바닥</t>
        </is>
      </c>
      <c r="E126" s="14" t="inlineStr">
        <is>
          <t>벽지/바닥</t>
        </is>
      </c>
      <c r="F126" s="10" t="n">
        <v>280</v>
      </c>
      <c r="G126" s="10" t="n">
        <v>8</v>
      </c>
      <c r="H126" s="10">
        <f>IF(F126=0,"기본 지급",ROUND(F126/$B$1,1))</f>
        <v/>
      </c>
      <c r="J126" s="10" t="inlineStr">
        <is>
          <t>room-assets-themes</t>
        </is>
      </c>
    </row>
    <row r="127" ht="17.15" customHeight="1" s="11">
      <c r="A127" s="10" t="inlineStr">
        <is>
          <t>floor_cream_terrazzo</t>
        </is>
      </c>
      <c r="B127" s="14" t="inlineStr">
        <is>
          <t>크림 테라조</t>
        </is>
      </c>
      <c r="C127" s="10" t="inlineStr">
        <is>
          <t>cat_cafe</t>
        </is>
      </c>
      <c r="D127" s="14" t="inlineStr">
        <is>
          <t>바닥</t>
        </is>
      </c>
      <c r="E127" s="14" t="inlineStr">
        <is>
          <t>벽지/바닥</t>
        </is>
      </c>
      <c r="F127" s="10" t="n">
        <v>260</v>
      </c>
      <c r="G127" s="10" t="n">
        <v>8</v>
      </c>
      <c r="H127" s="10">
        <f>IF(F127=0,"기본 지급",ROUND(F127/$B$1,1))</f>
        <v/>
      </c>
      <c r="J127" s="10" t="inlineStr">
        <is>
          <t>room-assets-themes</t>
        </is>
      </c>
    </row>
    <row r="128" ht="17.15" customHeight="1" s="11">
      <c r="A128" s="10" t="inlineStr">
        <is>
          <t>floor_mint_tile</t>
        </is>
      </c>
      <c r="B128" s="14" t="inlineStr">
        <is>
          <t>민트 타일</t>
        </is>
      </c>
      <c r="C128" s="10" t="inlineStr">
        <is>
          <t>cat_cafe</t>
        </is>
      </c>
      <c r="D128" s="14" t="inlineStr">
        <is>
          <t>바닥</t>
        </is>
      </c>
      <c r="E128" s="14" t="inlineStr">
        <is>
          <t>벽지/바닥</t>
        </is>
      </c>
      <c r="F128" s="10" t="n">
        <v>260</v>
      </c>
      <c r="G128" s="10" t="n">
        <v>8</v>
      </c>
      <c r="H128" s="10">
        <f>IF(F128=0,"기본 지급",ROUND(F128/$B$1,1))</f>
        <v/>
      </c>
      <c r="J128" s="10" t="inlineStr">
        <is>
          <t>room-assets-themes</t>
        </is>
      </c>
    </row>
    <row r="129" ht="17.15" customHeight="1" s="11">
      <c r="A129" s="10" t="inlineStr">
        <is>
          <t>floor_cocoa_plank</t>
        </is>
      </c>
      <c r="B129" s="14" t="inlineStr">
        <is>
          <t>코코아 원목</t>
        </is>
      </c>
      <c r="C129" s="10" t="inlineStr">
        <is>
          <t>cat_cafe</t>
        </is>
      </c>
      <c r="D129" s="14" t="inlineStr">
        <is>
          <t>바닥</t>
        </is>
      </c>
      <c r="E129" s="14" t="inlineStr">
        <is>
          <t>벽지/바닥</t>
        </is>
      </c>
      <c r="F129" s="10" t="n">
        <v>300</v>
      </c>
      <c r="G129" s="10" t="n">
        <v>8</v>
      </c>
      <c r="H129" s="10">
        <f>IF(F129=0,"기본 지급",ROUND(F129/$B$1,1))</f>
        <v/>
      </c>
      <c r="J129" s="10" t="inlineStr">
        <is>
          <t>room-assets-themes</t>
        </is>
      </c>
    </row>
    <row r="130" ht="17.15" customHeight="1" s="11">
      <c r="A130" s="10" t="inlineStr">
        <is>
          <t>wall_pink_brick</t>
        </is>
      </c>
      <c r="B130" s="14" t="inlineStr">
        <is>
          <t>핑크 벽돌</t>
        </is>
      </c>
      <c r="C130" s="10" t="inlineStr">
        <is>
          <t>cat_cafe</t>
        </is>
      </c>
      <c r="D130" s="14" t="inlineStr">
        <is>
          <t>벽지</t>
        </is>
      </c>
      <c r="E130" s="14" t="inlineStr">
        <is>
          <t>벽지/바닥</t>
        </is>
      </c>
      <c r="F130" s="10" t="n">
        <v>0</v>
      </c>
      <c r="G130" s="10" t="n">
        <v>8</v>
      </c>
      <c r="H130" s="10">
        <f>IF(F130=0,"기본 지급",ROUND(F130/$B$1,1))</f>
        <v/>
      </c>
      <c r="I130" s="10" t="inlineStr">
        <is>
          <t>roomDefault</t>
        </is>
      </c>
      <c r="J130" s="10" t="inlineStr">
        <is>
          <t>room-assets-themes</t>
        </is>
      </c>
    </row>
    <row r="131" ht="17.15" customHeight="1" s="11">
      <c r="A131" s="10" t="inlineStr">
        <is>
          <t>wall_latte_stripe</t>
        </is>
      </c>
      <c r="B131" s="14" t="inlineStr">
        <is>
          <t>라떼 줄무늬</t>
        </is>
      </c>
      <c r="C131" s="10" t="inlineStr">
        <is>
          <t>cat_cafe</t>
        </is>
      </c>
      <c r="D131" s="14" t="inlineStr">
        <is>
          <t>벽지</t>
        </is>
      </c>
      <c r="E131" s="14" t="inlineStr">
        <is>
          <t>벽지/바닥</t>
        </is>
      </c>
      <c r="F131" s="10" t="n">
        <v>0</v>
      </c>
      <c r="G131" s="10" t="n">
        <v>8</v>
      </c>
      <c r="H131" s="10">
        <f>IF(F131=0,"기본 지급",ROUND(F131/$B$1,1))</f>
        <v/>
      </c>
      <c r="I131" s="10" t="inlineStr">
        <is>
          <t>roomDefault</t>
        </is>
      </c>
      <c r="J131" s="10" t="inlineStr">
        <is>
          <t>room-assets-themes</t>
        </is>
      </c>
    </row>
    <row r="132" ht="17.15" customHeight="1" s="11">
      <c r="A132" s="10" t="inlineStr">
        <is>
          <t>wall_mint_wainscot</t>
        </is>
      </c>
      <c r="B132" s="14" t="inlineStr">
        <is>
          <t>민트 웨인스코팅</t>
        </is>
      </c>
      <c r="C132" s="10" t="inlineStr">
        <is>
          <t>cat_cafe</t>
        </is>
      </c>
      <c r="D132" s="14" t="inlineStr">
        <is>
          <t>벽지</t>
        </is>
      </c>
      <c r="E132" s="14" t="inlineStr">
        <is>
          <t>벽지/바닥</t>
        </is>
      </c>
      <c r="F132" s="10" t="n">
        <v>280</v>
      </c>
      <c r="G132" s="10" t="n">
        <v>8</v>
      </c>
      <c r="H132" s="10">
        <f>IF(F132=0,"기본 지급",ROUND(F132/$B$1,1))</f>
        <v/>
      </c>
      <c r="J132" s="10" t="inlineStr">
        <is>
          <t>room-assets-themes</t>
        </is>
      </c>
    </row>
    <row r="133" ht="17.15" customHeight="1" s="11">
      <c r="A133" s="10" t="inlineStr">
        <is>
          <t>wall_coffee_bean</t>
        </is>
      </c>
      <c r="B133" s="14" t="inlineStr">
        <is>
          <t>커피콩 패턴</t>
        </is>
      </c>
      <c r="C133" s="10" t="inlineStr">
        <is>
          <t>cat_cafe</t>
        </is>
      </c>
      <c r="D133" s="14" t="inlineStr">
        <is>
          <t>벽지</t>
        </is>
      </c>
      <c r="E133" s="14" t="inlineStr">
        <is>
          <t>벽지/바닥</t>
        </is>
      </c>
      <c r="F133" s="10" t="n">
        <v>260</v>
      </c>
      <c r="G133" s="10" t="n">
        <v>8</v>
      </c>
      <c r="H133" s="10">
        <f>IF(F133=0,"기본 지급",ROUND(F133/$B$1,1))</f>
        <v/>
      </c>
      <c r="J133" s="10" t="inlineStr">
        <is>
          <t>room-assets-themes</t>
        </is>
      </c>
    </row>
    <row r="134" ht="17.15" customHeight="1" s="11">
      <c r="A134" s="10" t="inlineStr">
        <is>
          <t>wall_tiny_cups</t>
        </is>
      </c>
      <c r="B134" s="14" t="inlineStr">
        <is>
          <t>크림 컵 무늬</t>
        </is>
      </c>
      <c r="C134" s="10" t="inlineStr">
        <is>
          <t>cat_cafe</t>
        </is>
      </c>
      <c r="D134" s="14" t="inlineStr">
        <is>
          <t>벽지</t>
        </is>
      </c>
      <c r="E134" s="14" t="inlineStr">
        <is>
          <t>벽지/바닥</t>
        </is>
      </c>
      <c r="F134" s="10" t="n">
        <v>260</v>
      </c>
      <c r="G134" s="10" t="n">
        <v>8</v>
      </c>
      <c r="H134" s="10">
        <f>IF(F134=0,"기본 지급",ROUND(F134/$B$1,1))</f>
        <v/>
      </c>
      <c r="J134" s="10" t="inlineStr">
        <is>
          <t>room-assets-themes</t>
        </is>
      </c>
    </row>
    <row r="135" ht="17.15" customHeight="1" s="11">
      <c r="A135" s="10" t="inlineStr">
        <is>
          <t>wall_chalk_cream</t>
        </is>
      </c>
      <c r="B135" s="14" t="inlineStr">
        <is>
          <t>칠판 하프월</t>
        </is>
      </c>
      <c r="C135" s="10" t="inlineStr">
        <is>
          <t>cat_cafe</t>
        </is>
      </c>
      <c r="D135" s="14" t="inlineStr">
        <is>
          <t>벽지</t>
        </is>
      </c>
      <c r="E135" s="14" t="inlineStr">
        <is>
          <t>벽지/바닥</t>
        </is>
      </c>
      <c r="F135" s="10" t="n">
        <v>320</v>
      </c>
      <c r="G135" s="10" t="n">
        <v>8</v>
      </c>
      <c r="H135" s="10">
        <f>IF(F135=0,"기본 지급",ROUND(F135/$B$1,1))</f>
        <v/>
      </c>
      <c r="J135" s="10" t="inlineStr">
        <is>
          <t>room-assets-themes</t>
        </is>
      </c>
    </row>
    <row r="136" ht="17.15" customHeight="1" s="11">
      <c r="A136" s="10" t="inlineStr">
        <is>
          <t>floor_grass</t>
        </is>
      </c>
      <c r="B136" s="14" t="inlineStr">
        <is>
          <t>폭신 잔디</t>
        </is>
      </c>
      <c r="C136" s="10" t="inlineStr">
        <is>
          <t>sakura_greenhouse</t>
        </is>
      </c>
      <c r="D136" s="14" t="inlineStr">
        <is>
          <t>바닥</t>
        </is>
      </c>
      <c r="E136" s="14" t="inlineStr">
        <is>
          <t>벽지/바닥</t>
        </is>
      </c>
      <c r="F136" s="10" t="n">
        <v>0</v>
      </c>
      <c r="G136" s="10" t="n">
        <v>8</v>
      </c>
      <c r="H136" s="10">
        <f>IF(F136=0,"기본 지급",ROUND(F136/$B$1,1))</f>
        <v/>
      </c>
      <c r="I136" s="10" t="inlineStr">
        <is>
          <t>roomDefault</t>
        </is>
      </c>
      <c r="J136" s="10" t="inlineStr">
        <is>
          <t>room-assets-themes</t>
        </is>
      </c>
    </row>
    <row r="137" ht="17.15" customHeight="1" s="11">
      <c r="A137" s="10" t="inlineStr">
        <is>
          <t>floor_stone_path</t>
        </is>
      </c>
      <c r="B137" s="14" t="inlineStr">
        <is>
          <t>징검돌 길</t>
        </is>
      </c>
      <c r="C137" s="10" t="inlineStr">
        <is>
          <t>sakura_greenhouse</t>
        </is>
      </c>
      <c r="D137" s="14" t="inlineStr">
        <is>
          <t>바닥</t>
        </is>
      </c>
      <c r="E137" s="14" t="inlineStr">
        <is>
          <t>벽지/바닥</t>
        </is>
      </c>
      <c r="F137" s="10" t="n">
        <v>260</v>
      </c>
      <c r="G137" s="10" t="n">
        <v>8</v>
      </c>
      <c r="H137" s="10">
        <f>IF(F137=0,"기본 지급",ROUND(F137/$B$1,1))</f>
        <v/>
      </c>
      <c r="J137" s="10" t="inlineStr">
        <is>
          <t>room-assets-themes</t>
        </is>
      </c>
    </row>
    <row r="138" ht="17.15" customHeight="1" s="11">
      <c r="A138" s="10" t="inlineStr">
        <is>
          <t>floor_light_deck</t>
        </is>
      </c>
      <c r="B138" s="14" t="inlineStr">
        <is>
          <t>라이트 데크</t>
        </is>
      </c>
      <c r="C138" s="10" t="inlineStr">
        <is>
          <t>sakura_greenhouse</t>
        </is>
      </c>
      <c r="D138" s="14" t="inlineStr">
        <is>
          <t>바닥</t>
        </is>
      </c>
      <c r="E138" s="14" t="inlineStr">
        <is>
          <t>벽지/바닥</t>
        </is>
      </c>
      <c r="F138" s="10" t="n">
        <v>280</v>
      </c>
      <c r="G138" s="10" t="n">
        <v>8</v>
      </c>
      <c r="H138" s="10">
        <f>IF(F138=0,"기본 지급",ROUND(F138/$B$1,1))</f>
        <v/>
      </c>
      <c r="J138" s="10" t="inlineStr">
        <is>
          <t>room-assets-themes</t>
        </is>
      </c>
    </row>
    <row r="139" ht="17.15" customHeight="1" s="11">
      <c r="A139" s="10" t="inlineStr">
        <is>
          <t>floor_petal_grass</t>
        </is>
      </c>
      <c r="B139" s="14" t="inlineStr">
        <is>
          <t>벚꽃잎 잔디</t>
        </is>
      </c>
      <c r="C139" s="10" t="inlineStr">
        <is>
          <t>sakura_greenhouse</t>
        </is>
      </c>
      <c r="D139" s="14" t="inlineStr">
        <is>
          <t>바닥</t>
        </is>
      </c>
      <c r="E139" s="14" t="inlineStr">
        <is>
          <t>벽지/바닥</t>
        </is>
      </c>
      <c r="F139" s="10" t="n">
        <v>300</v>
      </c>
      <c r="G139" s="10" t="n">
        <v>8</v>
      </c>
      <c r="H139" s="10">
        <f>IF(F139=0,"기본 지급",ROUND(F139/$B$1,1))</f>
        <v/>
      </c>
      <c r="J139" s="10" t="inlineStr">
        <is>
          <t>room-assets-themes</t>
        </is>
      </c>
    </row>
    <row r="140" ht="17.15" customHeight="1" s="11">
      <c r="A140" s="10" t="inlineStr">
        <is>
          <t>floor_pebble_mosaic</t>
        </is>
      </c>
      <c r="B140" s="14" t="inlineStr">
        <is>
          <t>조약돌 모자이크</t>
        </is>
      </c>
      <c r="C140" s="10" t="inlineStr">
        <is>
          <t>sakura_greenhouse</t>
        </is>
      </c>
      <c r="D140" s="14" t="inlineStr">
        <is>
          <t>바닥</t>
        </is>
      </c>
      <c r="E140" s="14" t="inlineStr">
        <is>
          <t>벽지/바닥</t>
        </is>
      </c>
      <c r="F140" s="10" t="n">
        <v>320</v>
      </c>
      <c r="G140" s="10" t="n">
        <v>8</v>
      </c>
      <c r="H140" s="10">
        <f>IF(F140=0,"기본 지급",ROUND(F140/$B$1,1))</f>
        <v/>
      </c>
      <c r="J140" s="10" t="inlineStr">
        <is>
          <t>room-assets-themes</t>
        </is>
      </c>
    </row>
    <row r="141" ht="17.15" customHeight="1" s="11">
      <c r="A141" s="10" t="inlineStr">
        <is>
          <t>floor_moss_tile</t>
        </is>
      </c>
      <c r="B141" s="14" t="inlineStr">
        <is>
          <t>이끼 돌타일</t>
        </is>
      </c>
      <c r="C141" s="10" t="inlineStr">
        <is>
          <t>sakura_greenhouse</t>
        </is>
      </c>
      <c r="D141" s="14" t="inlineStr">
        <is>
          <t>바닥</t>
        </is>
      </c>
      <c r="E141" s="14" t="inlineStr">
        <is>
          <t>벽지/바닥</t>
        </is>
      </c>
      <c r="F141" s="10" t="n">
        <v>300</v>
      </c>
      <c r="G141" s="10" t="n">
        <v>8</v>
      </c>
      <c r="H141" s="10">
        <f>IF(F141=0,"기본 지급",ROUND(F141/$B$1,1))</f>
        <v/>
      </c>
      <c r="J141" s="10" t="inlineStr">
        <is>
          <t>room-assets-themes</t>
        </is>
      </c>
    </row>
    <row r="142" ht="17.15" customHeight="1" s="11">
      <c r="A142" s="10" t="inlineStr">
        <is>
          <t>wall_glass_pane</t>
        </is>
      </c>
      <c r="B142" s="14" t="inlineStr">
        <is>
          <t>온실 유리창</t>
        </is>
      </c>
      <c r="C142" s="10" t="inlineStr">
        <is>
          <t>sakura_greenhouse</t>
        </is>
      </c>
      <c r="D142" s="14" t="inlineStr">
        <is>
          <t>벽지</t>
        </is>
      </c>
      <c r="E142" s="14" t="inlineStr">
        <is>
          <t>벽지/바닥</t>
        </is>
      </c>
      <c r="F142" s="10" t="n">
        <v>0</v>
      </c>
      <c r="G142" s="10" t="n">
        <v>8</v>
      </c>
      <c r="H142" s="10">
        <f>IF(F142=0,"기본 지급",ROUND(F142/$B$1,1))</f>
        <v/>
      </c>
      <c r="I142" s="10" t="inlineStr">
        <is>
          <t>roomDefault</t>
        </is>
      </c>
      <c r="J142" s="10" t="inlineStr">
        <is>
          <t>room-assets-themes</t>
        </is>
      </c>
    </row>
    <row r="143" ht="17.15" customHeight="1" s="11">
      <c r="A143" s="10" t="inlineStr">
        <is>
          <t>wall_sakura_branch_wall</t>
        </is>
      </c>
      <c r="B143" s="14" t="inlineStr">
        <is>
          <t>벚꽃 가지</t>
        </is>
      </c>
      <c r="C143" s="10" t="inlineStr">
        <is>
          <t>sakura_greenhouse</t>
        </is>
      </c>
      <c r="D143" s="14" t="inlineStr">
        <is>
          <t>벽지</t>
        </is>
      </c>
      <c r="E143" s="14" t="inlineStr">
        <is>
          <t>벽지/바닥</t>
        </is>
      </c>
      <c r="F143" s="10" t="n">
        <v>280</v>
      </c>
      <c r="G143" s="10" t="n">
        <v>8</v>
      </c>
      <c r="H143" s="10">
        <f>IF(F143=0,"기본 지급",ROUND(F143/$B$1,1))</f>
        <v/>
      </c>
      <c r="J143" s="10" t="inlineStr">
        <is>
          <t>room-assets-themes</t>
        </is>
      </c>
    </row>
    <row r="144" ht="17.15" customHeight="1" s="11">
      <c r="A144" s="10" t="inlineStr">
        <is>
          <t>wall_ivy_trellis</t>
        </is>
      </c>
      <c r="B144" s="14" t="inlineStr">
        <is>
          <t>아이비 트렐리스</t>
        </is>
      </c>
      <c r="C144" s="10" t="inlineStr">
        <is>
          <t>sakura_greenhouse</t>
        </is>
      </c>
      <c r="D144" s="14" t="inlineStr">
        <is>
          <t>벽지</t>
        </is>
      </c>
      <c r="E144" s="14" t="inlineStr">
        <is>
          <t>벽지/바닥</t>
        </is>
      </c>
      <c r="F144" s="10" t="n">
        <v>280</v>
      </c>
      <c r="G144" s="10" t="n">
        <v>8</v>
      </c>
      <c r="H144" s="10">
        <f>IF(F144=0,"기본 지급",ROUND(F144/$B$1,1))</f>
        <v/>
      </c>
      <c r="J144" s="10" t="inlineStr">
        <is>
          <t>room-assets-themes</t>
        </is>
      </c>
    </row>
    <row r="145" ht="17.15" customHeight="1" s="11">
      <c r="A145" s="10" t="inlineStr">
        <is>
          <t>wall_sky_cloud</t>
        </is>
      </c>
      <c r="B145" s="14" t="inlineStr">
        <is>
          <t>하늘 구름</t>
        </is>
      </c>
      <c r="C145" s="10" t="inlineStr">
        <is>
          <t>sakura_greenhouse</t>
        </is>
      </c>
      <c r="D145" s="14" t="inlineStr">
        <is>
          <t>벽지</t>
        </is>
      </c>
      <c r="E145" s="14" t="inlineStr">
        <is>
          <t>벽지/바닥</t>
        </is>
      </c>
      <c r="F145" s="10" t="n">
        <v>260</v>
      </c>
      <c r="G145" s="10" t="n">
        <v>8</v>
      </c>
      <c r="H145" s="10">
        <f>IF(F145=0,"기본 지급",ROUND(F145/$B$1,1))</f>
        <v/>
      </c>
      <c r="J145" s="10" t="inlineStr">
        <is>
          <t>room-assets-themes</t>
        </is>
      </c>
    </row>
    <row r="146" ht="17.15" customHeight="1" s="11">
      <c r="A146" s="10" t="inlineStr">
        <is>
          <t>wall_sage_panel</t>
        </is>
      </c>
      <c r="B146" s="14" t="inlineStr">
        <is>
          <t>세이지 패널</t>
        </is>
      </c>
      <c r="C146" s="10" t="inlineStr">
        <is>
          <t>sakura_greenhouse</t>
        </is>
      </c>
      <c r="D146" s="14" t="inlineStr">
        <is>
          <t>벽지</t>
        </is>
      </c>
      <c r="E146" s="14" t="inlineStr">
        <is>
          <t>벽지/바닥</t>
        </is>
      </c>
      <c r="F146" s="10" t="n">
        <v>240</v>
      </c>
      <c r="G146" s="10" t="n">
        <v>8</v>
      </c>
      <c r="H146" s="10">
        <f>IF(F146=0,"기본 지급",ROUND(F146/$B$1,1))</f>
        <v/>
      </c>
      <c r="J146" s="10" t="inlineStr">
        <is>
          <t>room-assets-themes</t>
        </is>
      </c>
    </row>
    <row r="147" ht="17.15" customHeight="1" s="11">
      <c r="A147" s="10" t="inlineStr">
        <is>
          <t>wall_white_lattice</t>
        </is>
      </c>
      <c r="B147" s="14" t="inlineStr">
        <is>
          <t>화이트 격자</t>
        </is>
      </c>
      <c r="C147" s="10" t="inlineStr">
        <is>
          <t>sakura_greenhouse</t>
        </is>
      </c>
      <c r="D147" s="14" t="inlineStr">
        <is>
          <t>벽지</t>
        </is>
      </c>
      <c r="E147" s="14" t="inlineStr">
        <is>
          <t>벽지/바닥</t>
        </is>
      </c>
      <c r="F147" s="10" t="n">
        <v>260</v>
      </c>
      <c r="G147" s="10" t="n">
        <v>8</v>
      </c>
      <c r="H147" s="10">
        <f>IF(F147=0,"기본 지급",ROUND(F147/$B$1,1))</f>
        <v/>
      </c>
      <c r="J147" s="10" t="inlineStr">
        <is>
          <t>room-assets-themes</t>
        </is>
      </c>
    </row>
    <row r="149" ht="15" customHeight="1" s="11">
      <c r="A149" s="18" t="inlineStr">
        <is>
          <t>등급</t>
        </is>
      </c>
      <c r="B149" s="18" t="inlineStr">
        <is>
          <t>가격 범위</t>
        </is>
      </c>
      <c r="C149" s="18" t="inlineStr">
        <is>
          <t>코지</t>
        </is>
      </c>
      <c r="D149" s="18" t="inlineStr">
        <is>
          <t>개수</t>
        </is>
      </c>
      <c r="E149" s="18" t="inlineStr">
        <is>
          <t>평균 가격</t>
        </is>
      </c>
    </row>
    <row r="150" ht="15" customHeight="1" s="11">
      <c r="A150" s="14" t="inlineStr">
        <is>
          <t>작은 소품</t>
        </is>
      </c>
      <c r="B150" s="10" t="inlineStr">
        <is>
          <t>80–150</t>
        </is>
      </c>
      <c r="C150" s="10" t="n">
        <v>4</v>
      </c>
      <c r="D150" s="10">
        <f>COUNTIF($E$4:$E$147,A150)</f>
        <v/>
      </c>
      <c r="E150" s="10">
        <f>IFERROR(AVERAGEIF($E$4:$E$147,A150,$F$4:$F$147),"-")</f>
        <v/>
      </c>
    </row>
    <row r="151" ht="15" customHeight="1" s="11">
      <c r="A151" s="14" t="inlineStr">
        <is>
          <t>일반 가구</t>
        </is>
      </c>
      <c r="B151" s="10" t="inlineStr">
        <is>
          <t>200–400</t>
        </is>
      </c>
      <c r="C151" s="10" t="n">
        <v>10</v>
      </c>
      <c r="D151" s="10">
        <f>COUNTIF($E$4:$E$147,A151)</f>
        <v/>
      </c>
      <c r="E151" s="10">
        <f>IFERROR(AVERAGEIF($E$4:$E$147,A151,$F$4:$F$147),"-")</f>
        <v/>
      </c>
    </row>
    <row r="152" ht="17.15" customHeight="1" s="11">
      <c r="A152" s="14" t="inlineStr">
        <is>
          <t>큰/테마 대표 가구</t>
        </is>
      </c>
      <c r="B152" s="10" t="inlineStr">
        <is>
          <t>500–900</t>
        </is>
      </c>
      <c r="C152" s="10" t="n">
        <v>25</v>
      </c>
      <c r="D152" s="10">
        <f>COUNTIF($E$4:$E$147,A152)</f>
        <v/>
      </c>
      <c r="E152" s="10">
        <f>IFERROR(AVERAGEIF($E$4:$E$147,A152,$F$4:$F$147),"-")</f>
        <v/>
      </c>
    </row>
    <row r="153" ht="15" customHeight="1" s="11">
      <c r="A153" s="14" t="inlineStr">
        <is>
          <t>벽 꾸미기</t>
        </is>
      </c>
      <c r="B153" s="10" t="inlineStr">
        <is>
          <t>100–250</t>
        </is>
      </c>
      <c r="C153" s="10" t="n">
        <v>6</v>
      </c>
      <c r="D153" s="10">
        <f>COUNTIF($E$4:$E$147,A153)</f>
        <v/>
      </c>
      <c r="E153" s="10">
        <f>IFERROR(AVERAGEIF($E$4:$E$147,A153,$F$4:$F$147),"-")</f>
        <v/>
      </c>
    </row>
    <row r="154" ht="17.15" customHeight="1" s="11">
      <c r="A154" s="14" t="inlineStr">
        <is>
          <t>벽지/바닥</t>
        </is>
      </c>
      <c r="B154" s="10" t="inlineStr">
        <is>
          <t>200–400</t>
        </is>
      </c>
      <c r="C154" s="10" t="n">
        <v>8</v>
      </c>
      <c r="D154" s="10">
        <f>COUNTIF($E$4:$E$147,A154)</f>
        <v/>
      </c>
      <c r="E154" s="10">
        <f>IFERROR(AVERAGEIF($E$4:$E$147,A154,$F$4:$F$147),"-")</f>
        <v/>
      </c>
    </row>
    <row r="155" ht="15" customHeight="1" s="11">
      <c r="A155" s="14" t="inlineStr">
        <is>
          <t>레전드급 한정</t>
        </is>
      </c>
      <c r="B155" s="10" t="inlineStr">
        <is>
          <t>1500–</t>
        </is>
      </c>
      <c r="C155" s="10" t="n">
        <v>60</v>
      </c>
      <c r="D155" s="10">
        <f>COUNTIF($E$4:$E$147,A155)</f>
        <v/>
      </c>
      <c r="E155" s="10">
        <f>IFERROR(AVERAGEIF($E$4:$E$147,A155,$F$4:$F$147),"-")</f>
        <v/>
      </c>
    </row>
  </sheetData>
  <autoFilter ref="A3:J1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0" min="1" max="1"/>
    <col width="14" customWidth="1" style="10" min="2" max="3"/>
    <col width="16" customWidth="1" style="10" min="4" max="4"/>
    <col width="20" customWidth="1" style="10" min="5" max="5"/>
    <col width="50" customWidth="1" style="10" min="6" max="6"/>
  </cols>
  <sheetData>
    <row r="1" ht="17.15" customHeight="1" s="11">
      <c r="A1" s="14" t="inlineStr">
        <is>
          <t>하루 수입(포인트)</t>
        </is>
      </c>
      <c r="B1" s="10">
        <f>'포인트 경제'!B12</f>
        <v/>
      </c>
    </row>
    <row r="3" ht="17.15" customHeight="1" s="11">
      <c r="A3" s="18" t="inlineStr">
        <is>
          <t>방</t>
        </is>
      </c>
      <c r="B3" s="18" t="inlineStr">
        <is>
          <t>해금 포인트</t>
        </is>
      </c>
      <c r="C3" s="18" t="inlineStr">
        <is>
          <t>필요 코지 Lv</t>
        </is>
      </c>
      <c r="D3" s="18" t="inlineStr">
        <is>
          <t>필요 코지 포인트</t>
        </is>
      </c>
      <c r="E3" s="18" t="inlineStr">
        <is>
          <t>며칠 모으면(포인트만)</t>
        </is>
      </c>
      <c r="F3" s="18" t="inlineStr">
        <is>
          <t>해금 시 지급</t>
        </is>
      </c>
    </row>
    <row r="4" ht="15" customHeight="1" s="11">
      <c r="A4" s="14" t="inlineStr">
        <is>
          <t>달밤 침실</t>
        </is>
      </c>
      <c r="B4" s="10" t="n">
        <v>0</v>
      </c>
      <c r="C4" s="10" t="inlineStr">
        <is>
          <t>-</t>
        </is>
      </c>
      <c r="D4" s="10">
        <f>IFERROR(VLOOKUP(C4,$A$13:$B$22,2,FALSE()),"-")</f>
        <v/>
      </c>
      <c r="E4" s="10">
        <f>IF(B4=0,"기본",ROUND(B4/$B$1,1))</f>
        <v/>
      </c>
      <c r="F4" s="10" t="inlineStr">
        <is>
          <t>-</t>
        </is>
      </c>
    </row>
    <row r="5" ht="15" customHeight="1" s="11">
      <c r="A5" s="14" t="inlineStr">
        <is>
          <t>고양이 카페</t>
        </is>
      </c>
      <c r="B5" s="10" t="n">
        <v>1500</v>
      </c>
      <c r="C5" s="10" t="n">
        <v>5</v>
      </c>
      <c r="D5" s="10">
        <f>IFERROR(VLOOKUP(C5,$A$13:$B$22,2,FALSE()),"-")</f>
        <v/>
      </c>
      <c r="E5" s="10">
        <f>IF(B5=0,"기본",ROUND(B5/$B$1,1))</f>
        <v/>
      </c>
      <c r="F5" s="10" t="inlineStr">
        <is>
          <t>cafe_table, heart_chair, chalk_stand, menu_board</t>
        </is>
      </c>
    </row>
    <row r="6" ht="15" customHeight="1" s="11">
      <c r="A6" s="14" t="inlineStr">
        <is>
          <t>벚꽃 온실 정원</t>
        </is>
      </c>
      <c r="B6" s="10" t="n">
        <v>3000</v>
      </c>
      <c r="C6" s="10" t="n">
        <v>8</v>
      </c>
      <c r="D6" s="10">
        <f>IFERROR(VLOOKUP(C6,$A$13:$B$22,2,FALSE()),"-")</f>
        <v/>
      </c>
      <c r="E6" s="10">
        <f>IF(B6=0,"기본",ROUND(B6/$B$1,1))</f>
        <v/>
      </c>
      <c r="F6" s="10" t="inlineStr">
        <is>
          <t>tea_table_white, tulip_planter, watering_can, hanging_basket</t>
        </is>
      </c>
    </row>
    <row r="7" ht="17.15" customHeight="1" s="11">
      <c r="A7" s="10" t="inlineStr">
        <is>
          <t>_future</t>
        </is>
      </c>
      <c r="B7" s="10" t="n">
        <v>5000</v>
      </c>
      <c r="C7" s="10" t="n">
        <v>10</v>
      </c>
      <c r="D7" s="10">
        <f>IFERROR(VLOOKUP(C7,$A$13:$B$22,2,FALSE()),"-")</f>
        <v/>
      </c>
      <c r="E7" s="10">
        <f>IF(B7=0,"기본",ROUND(B7/$B$1,1))</f>
        <v/>
      </c>
      <c r="F7" s="10" t="inlineStr">
        <is>
          <t>3–4개</t>
        </is>
      </c>
    </row>
    <row r="12" ht="17.15" customHeight="1" s="11">
      <c r="A12" s="18" t="inlineStr">
        <is>
          <t>코지 Lv</t>
        </is>
      </c>
      <c r="B12" s="18" t="inlineStr">
        <is>
          <t>최소 코지 포인트</t>
        </is>
      </c>
      <c r="C12" s="18" t="inlineStr">
        <is>
          <t>목표</t>
        </is>
      </c>
    </row>
    <row r="13" ht="15" customHeight="1" s="11">
      <c r="A13" s="10" t="n">
        <v>1</v>
      </c>
      <c r="B13" s="17" t="n">
        <v>0</v>
      </c>
    </row>
    <row r="14" ht="15" customHeight="1" s="11">
      <c r="A14" s="10" t="n">
        <v>2</v>
      </c>
      <c r="B14" s="17" t="n">
        <v>100</v>
      </c>
    </row>
    <row r="15" ht="15" customHeight="1" s="11">
      <c r="A15" s="10" t="n">
        <v>3</v>
      </c>
      <c r="B15" s="17" t="n">
        <v>130</v>
      </c>
    </row>
    <row r="16" ht="15" customHeight="1" s="11">
      <c r="A16" s="10" t="n">
        <v>4</v>
      </c>
      <c r="B16" s="17" t="n">
        <v>165</v>
      </c>
    </row>
    <row r="17" ht="17.15" customHeight="1" s="11">
      <c r="A17" s="10" t="n">
        <v>5</v>
      </c>
      <c r="B17" s="17" t="n">
        <v>200</v>
      </c>
      <c r="C17" s="14" t="inlineStr">
        <is>
          <t>활성 유저 10–14일차 (시뮬 12일)</t>
        </is>
      </c>
    </row>
    <row r="18" ht="15" customHeight="1" s="11">
      <c r="A18" s="10" t="n">
        <v>6</v>
      </c>
      <c r="B18" s="17" t="n">
        <v>225</v>
      </c>
    </row>
    <row r="19" ht="15" customHeight="1" s="11">
      <c r="A19" s="10" t="n">
        <v>7</v>
      </c>
      <c r="B19" s="17" t="n">
        <v>250</v>
      </c>
    </row>
    <row r="20" ht="17.15" customHeight="1" s="11">
      <c r="A20" s="10" t="n">
        <v>8</v>
      </c>
      <c r="B20" s="17" t="n">
        <v>280</v>
      </c>
      <c r="C20" s="10" t="inlineStr">
        <is>
          <t>25–30일차 (시뮬 28일)</t>
        </is>
      </c>
    </row>
    <row r="21" ht="15" customHeight="1" s="11">
      <c r="A21" s="10" t="n">
        <v>9</v>
      </c>
      <c r="B21" s="17" t="n">
        <v>330</v>
      </c>
    </row>
    <row r="22" ht="15" customHeight="1" s="11">
      <c r="A22" s="10" t="n">
        <v>10</v>
      </c>
      <c r="B22" s="17" t="n">
        <v>400</v>
      </c>
    </row>
    <row r="24" ht="17.15" customHeight="1" s="11">
      <c r="A24" s="14" t="inlineStr">
        <is>
          <t>코지 포인트 = 보유 아이템의 등급별 코지 합 (작은 소품 4 · 일반 가구 10 · 큰/대표 25 · 벽 꾸미기 6 · 벽지/바닥 8 · 레전드 60)</t>
        </is>
      </c>
    </row>
    <row r="25" ht="17.15" customHeight="1" s="11">
      <c r="A25" s="14" t="inlineStr">
        <is>
          <t>시뮬레이션에서 고양이 카페 해금(포인트 1,500 모으기 포함) 중앙값은 21일차예요.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10" min="1" max="1"/>
    <col width="16" customWidth="1" style="10" min="2" max="2"/>
    <col width="30" customWidth="1" style="10" min="3" max="3"/>
    <col width="12" customWidth="1" style="10" min="4" max="4"/>
    <col width="10" customWidth="1" style="10" min="5" max="5"/>
    <col width="12" customWidth="1" style="10" min="6" max="6"/>
  </cols>
  <sheetData>
    <row r="1" ht="20.1" customHeight="1" s="11">
      <c r="A1" s="16" t="inlineStr">
        <is>
          <t>토스 지급 (1인 최대)</t>
        </is>
      </c>
    </row>
    <row r="3" ht="17.15" customHeight="1" s="11">
      <c r="A3" s="18" t="inlineStr">
        <is>
          <t>보상</t>
        </is>
      </c>
      <c r="B3" s="18" t="inlineStr">
        <is>
          <t>횟수</t>
        </is>
      </c>
      <c r="C3" s="18" t="inlineStr">
        <is>
          <t>토스(원)</t>
        </is>
      </c>
      <c r="D3" s="18" t="inlineStr">
        <is>
          <t>토스 합계</t>
        </is>
      </c>
      <c r="E3" s="18" t="inlineStr">
        <is>
          <t>포인트</t>
        </is>
      </c>
      <c r="F3" s="18" t="inlineStr">
        <is>
          <t>포인트 합계</t>
        </is>
      </c>
    </row>
    <row r="4" ht="15" customHeight="1" s="11">
      <c r="A4" s="14" t="inlineStr">
        <is>
          <t>새 카드 첫 획득</t>
        </is>
      </c>
      <c r="B4" s="10" t="n">
        <v>107</v>
      </c>
      <c r="C4" s="17" t="n">
        <v>1</v>
      </c>
      <c r="D4" s="10">
        <f>B4*C4</f>
        <v/>
      </c>
      <c r="E4" s="17" t="n">
        <v>20</v>
      </c>
      <c r="F4" s="10">
        <f>B4*E4</f>
        <v/>
      </c>
    </row>
    <row r="5" ht="17.15" customHeight="1" s="11">
      <c r="A5" s="14" t="inlineStr">
        <is>
          <t>품종 1–5★ 완성</t>
        </is>
      </c>
      <c r="B5" s="10" t="n">
        <v>18</v>
      </c>
      <c r="C5" s="17" t="n">
        <v>10</v>
      </c>
      <c r="D5" s="10">
        <f>B5*C5</f>
        <v/>
      </c>
      <c r="E5" s="17" t="n">
        <v>200</v>
      </c>
      <c r="F5" s="10">
        <f>B5*E5</f>
        <v/>
      </c>
    </row>
    <row r="6" ht="15" customHeight="1" s="11">
      <c r="A6" s="14" t="inlineStr">
        <is>
          <t>스페셜 세트 완성</t>
        </is>
      </c>
      <c r="B6" s="10" t="n">
        <v>1</v>
      </c>
      <c r="C6" s="17" t="n">
        <v>10</v>
      </c>
      <c r="D6" s="10">
        <f>B6*C6</f>
        <v/>
      </c>
      <c r="E6" s="17" t="n">
        <v>300</v>
      </c>
      <c r="F6" s="10">
        <f>B6*E6</f>
        <v/>
      </c>
    </row>
    <row r="7" ht="15" customHeight="1" s="11">
      <c r="A7" s="14" t="inlineStr">
        <is>
          <t>캐릭터 세트 완성</t>
        </is>
      </c>
      <c r="B7" s="10" t="n">
        <v>1</v>
      </c>
      <c r="C7" s="17" t="n">
        <v>10</v>
      </c>
      <c r="D7" s="10">
        <f>B7*C7</f>
        <v/>
      </c>
      <c r="E7" s="17" t="n">
        <v>300</v>
      </c>
      <c r="F7" s="10">
        <f>B7*E7</f>
        <v/>
      </c>
    </row>
    <row r="8" ht="15" customHeight="1" s="11">
      <c r="A8" s="14" t="inlineStr">
        <is>
          <t>레전드 세트 완성</t>
        </is>
      </c>
      <c r="B8" s="10" t="n">
        <v>1</v>
      </c>
      <c r="C8" s="17" t="n">
        <v>10</v>
      </c>
      <c r="D8" s="10">
        <f>B8*C8</f>
        <v/>
      </c>
      <c r="E8" s="17" t="n">
        <v>300</v>
      </c>
      <c r="F8" s="10">
        <f>B8*E8</f>
        <v/>
      </c>
    </row>
    <row r="9" ht="15" customHeight="1" s="11">
      <c r="A9" s="14" t="inlineStr">
        <is>
          <t>도감 전체 완성</t>
        </is>
      </c>
      <c r="B9" s="10" t="n">
        <v>1</v>
      </c>
      <c r="C9" s="17" t="n">
        <v>100</v>
      </c>
      <c r="D9" s="10">
        <f>B9*C9</f>
        <v/>
      </c>
      <c r="E9" s="17" t="n">
        <v>3000</v>
      </c>
      <c r="F9" s="10">
        <f>B9*E9</f>
        <v/>
      </c>
    </row>
    <row r="10" ht="15" customHeight="1" s="11">
      <c r="A10" s="13" t="inlineStr">
        <is>
          <t>합계</t>
        </is>
      </c>
      <c r="D10" s="13">
        <f>SUM(D4:D9)</f>
        <v/>
      </c>
      <c r="F10" s="10">
        <f>SUM(F4:F9)</f>
        <v/>
      </c>
    </row>
    <row r="11" ht="17.15" customHeight="1" s="11">
      <c r="A11" s="14" t="inlineStr">
        <is>
          <t>검증 (417원이어야 해요)</t>
        </is>
      </c>
      <c r="D11" s="10">
        <f>IF(D10=417,"OK","확인 필요")</f>
        <v/>
      </c>
    </row>
    <row r="13" ht="16.15" customHeight="1" s="11">
      <c r="A13" s="16" t="inlineStr">
        <is>
          <t>광고 수익 손익분기</t>
        </is>
      </c>
    </row>
    <row r="14" ht="17.15" customHeight="1" s="11">
      <c r="A14" s="14" t="inlineStr">
        <is>
          <t>짧은 광고 eCPM (원)</t>
        </is>
      </c>
      <c r="B14" s="17" t="n"/>
      <c r="C14" s="14" t="inlineStr">
        <is>
          <t>앱인토스 대시보드에서 입력</t>
        </is>
      </c>
    </row>
    <row r="15" ht="17.15" customHeight="1" s="11">
      <c r="A15" s="14" t="inlineStr">
        <is>
          <t>긴 광고 eCPM (원)</t>
        </is>
      </c>
      <c r="B15" s="17" t="n"/>
      <c r="C15" s="14" t="inlineStr">
        <is>
          <t>앱인토스 대시보드에서 입력</t>
        </is>
      </c>
    </row>
    <row r="16" ht="17.15" customHeight="1" s="11">
      <c r="A16" s="14" t="inlineStr">
        <is>
          <t>기간(일)</t>
        </is>
      </c>
      <c r="B16" s="17" t="n">
        <v>30</v>
      </c>
    </row>
    <row r="17" ht="17.15" customHeight="1" s="11">
      <c r="A17" s="10" t="inlineStr">
        <is>
          <t>1인 하루 짧은 광고 수 (뽑기 3 + 포인트 8)</t>
        </is>
      </c>
      <c r="B17" s="17" t="n">
        <v>11</v>
      </c>
    </row>
    <row r="18" ht="17.15" customHeight="1" s="11">
      <c r="A18" s="10" t="inlineStr">
        <is>
          <t>1인 하루 긴 광고 수</t>
        </is>
      </c>
      <c r="B18" s="17" t="n">
        <v>1</v>
      </c>
    </row>
    <row r="19" ht="17.15" customHeight="1" s="11">
      <c r="A19" s="14" t="inlineStr">
        <is>
          <t>기간 내 1인 토스 지급(원, 시뮬 30일 중앙값)</t>
        </is>
      </c>
      <c r="B19" s="17" t="n">
        <v>83</v>
      </c>
    </row>
    <row r="21" ht="17.15" customHeight="1" s="11">
      <c r="A21" s="14" t="inlineStr">
        <is>
          <t>기간 내 1인 광고 수익(원)</t>
        </is>
      </c>
      <c r="B21" s="10">
        <f>IF(OR(B14="",B15=""),"eCPM 입력 필요",B16*(B17*B14+B18*B15)/1000)</f>
        <v/>
      </c>
    </row>
    <row r="22" ht="17.15" customHeight="1" s="11">
      <c r="A22" s="10" t="inlineStr">
        <is>
          <t>1인 순이익(원) = 광고 수익 − 토스 지급</t>
        </is>
      </c>
      <c r="B22" s="10">
        <f>IF(ISNUMBER(B21),B21-B19,"eCPM 입력 필요")</f>
        <v/>
      </c>
    </row>
    <row r="23" ht="17.15" customHeight="1" s="11">
      <c r="A23" s="14" t="inlineStr">
        <is>
          <t>손익분기 평균 eCPM (원, 모든 광고 동일 가정)</t>
        </is>
      </c>
      <c r="B23" s="10">
        <f>B19/(B16*(B17+B18)/1000)</f>
        <v/>
      </c>
    </row>
    <row r="24" ht="17.15" customHeight="1" s="11">
      <c r="A24" s="14" t="inlineStr">
        <is>
          <t>손익분기 짧은 광고 eCPM (긴 광고 eCPM 입력 시)</t>
        </is>
      </c>
      <c r="B24" s="10">
        <f>IF(B15="","긴 광고 eCPM 입력 필요",(B19*1000/B16-B18*B15)/B17)</f>
        <v/>
      </c>
    </row>
    <row r="25" ht="17.15" customHeight="1" s="11">
      <c r="A25" s="14" t="inlineStr">
        <is>
          <t>최대 지급 417원 회수에 필요한 광고 수 (평균 eCPM 입력 시)</t>
        </is>
      </c>
      <c r="B25" s="10">
        <f>IF(B14="","eCPM 입력 필요",417*1000/B14)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10" min="1" max="1"/>
    <col width="20" customWidth="1" style="10" min="2" max="3"/>
    <col width="18" customWidth="1" style="10" min="4" max="4"/>
    <col width="8" customWidth="1" style="10" min="5" max="5"/>
    <col width="10" customWidth="1" style="10" min="6" max="6"/>
  </cols>
  <sheetData>
    <row r="1" ht="17.15" customHeight="1" s="11">
      <c r="A1" s="13" t="inlineStr">
        <is>
          <t>시작 포인트: 300</t>
        </is>
      </c>
    </row>
    <row r="3" ht="15" customHeight="1" s="11">
      <c r="A3" s="18" t="inlineStr">
        <is>
          <t>구분</t>
        </is>
      </c>
      <c r="B3" s="20" t="inlineStr">
        <is>
          <t>id</t>
        </is>
      </c>
      <c r="C3" s="18" t="inlineStr">
        <is>
          <t>이름</t>
        </is>
      </c>
      <c r="D3" s="18" t="inlineStr">
        <is>
          <t>등급</t>
        </is>
      </c>
      <c r="E3" s="18" t="inlineStr">
        <is>
          <t>코지</t>
        </is>
      </c>
      <c r="F3" s="18" t="inlineStr">
        <is>
          <t>가격 환산</t>
        </is>
      </c>
    </row>
    <row r="4" ht="17.15" customHeight="1" s="11">
      <c r="A4" s="14" t="inlineStr">
        <is>
          <t>첫 방 배치 (히어로 고양이 포함)</t>
        </is>
      </c>
      <c r="B4" s="10" t="inlineStr">
        <is>
          <t>catbed</t>
        </is>
      </c>
      <c r="C4" s="14" t="inlineStr">
        <is>
          <t>동글 쿠션 침대</t>
        </is>
      </c>
      <c r="D4" s="14" t="inlineStr">
        <is>
          <t>일반 가구</t>
        </is>
      </c>
      <c r="E4" s="10" t="n">
        <v>10</v>
      </c>
      <c r="F4" s="10" t="n">
        <v>300</v>
      </c>
    </row>
    <row r="5" ht="15" customHeight="1" s="11">
      <c r="A5" s="14" t="inlineStr">
        <is>
          <t>첫 방 배치</t>
        </is>
      </c>
      <c r="B5" s="10" t="inlineStr">
        <is>
          <t>floorlamp</t>
        </is>
      </c>
      <c r="C5" s="14" t="inlineStr">
        <is>
          <t>플로어 램프</t>
        </is>
      </c>
      <c r="D5" s="14" t="inlineStr">
        <is>
          <t>일반 가구</t>
        </is>
      </c>
      <c r="E5" s="10" t="n">
        <v>10</v>
      </c>
      <c r="F5" s="10" t="n">
        <v>220</v>
      </c>
    </row>
    <row r="6" ht="15" customHeight="1" s="11">
      <c r="A6" s="14" t="inlineStr">
        <is>
          <t>첫 방 배치</t>
        </is>
      </c>
      <c r="B6" s="10" t="inlineStr">
        <is>
          <t>plant</t>
        </is>
      </c>
      <c r="C6" s="14" t="inlineStr">
        <is>
          <t>발바닥 화분</t>
        </is>
      </c>
      <c r="D6" s="14" t="inlineStr">
        <is>
          <t>작은 소품</t>
        </is>
      </c>
      <c r="E6" s="10" t="n">
        <v>4</v>
      </c>
      <c r="F6" s="10" t="n">
        <v>90</v>
      </c>
    </row>
    <row r="7" ht="15" customHeight="1" s="11">
      <c r="A7" s="14" t="inlineStr">
        <is>
          <t>첫 방 배치</t>
        </is>
      </c>
      <c r="B7" s="10" t="inlineStr">
        <is>
          <t>pawrug</t>
        </is>
      </c>
      <c r="C7" s="14" t="inlineStr">
        <is>
          <t>발바닥 러그</t>
        </is>
      </c>
      <c r="D7" s="14" t="inlineStr">
        <is>
          <t>작은 소품</t>
        </is>
      </c>
      <c r="E7" s="10" t="n">
        <v>4</v>
      </c>
      <c r="F7" s="10" t="n">
        <v>150</v>
      </c>
    </row>
    <row r="8" ht="15" customHeight="1" s="11">
      <c r="A8" s="14" t="inlineStr">
        <is>
          <t>첫 방 배치</t>
        </is>
      </c>
      <c r="B8" s="10" t="inlineStr">
        <is>
          <t>archwindow</t>
        </is>
      </c>
      <c r="C8" s="14" t="inlineStr">
        <is>
          <t>커튼 창문</t>
        </is>
      </c>
      <c r="D8" s="14" t="inlineStr">
        <is>
          <t>벽 꾸미기</t>
        </is>
      </c>
      <c r="E8" s="10" t="n">
        <v>6</v>
      </c>
      <c r="F8" s="10" t="n">
        <v>200</v>
      </c>
    </row>
    <row r="9" ht="15" customHeight="1" s="11">
      <c r="A9" s="14" t="inlineStr">
        <is>
          <t>첫 방 배치</t>
        </is>
      </c>
      <c r="B9" s="10" t="inlineStr">
        <is>
          <t>cardframe</t>
        </is>
      </c>
      <c r="C9" s="14" t="inlineStr">
        <is>
          <t>리본 카드 액자</t>
        </is>
      </c>
      <c r="D9" s="14" t="inlineStr">
        <is>
          <t>벽 꾸미기</t>
        </is>
      </c>
      <c r="E9" s="10" t="n">
        <v>6</v>
      </c>
      <c r="F9" s="10" t="n">
        <v>100</v>
      </c>
    </row>
    <row r="10" ht="17.15" customHeight="1" s="11">
      <c r="A10" s="14" t="inlineStr">
        <is>
          <t>첫 방 기본 바닥</t>
        </is>
      </c>
      <c r="B10" s="10" t="inlineStr">
        <is>
          <t>floor_wood_honey</t>
        </is>
      </c>
      <c r="C10" s="14" t="inlineStr">
        <is>
          <t>꿀빛 원목</t>
        </is>
      </c>
      <c r="D10" s="14" t="inlineStr">
        <is>
          <t>벽지/바닥</t>
        </is>
      </c>
      <c r="E10" s="10" t="n">
        <v>8</v>
      </c>
      <c r="F10" s="10" t="n">
        <v>0</v>
      </c>
    </row>
    <row r="11" ht="17.15" customHeight="1" s="11">
      <c r="A11" s="14" t="inlineStr">
        <is>
          <t>첫 방 기본 벽지</t>
        </is>
      </c>
      <c r="B11" s="10" t="inlineStr">
        <is>
          <t>wall_plum_sparkle</t>
        </is>
      </c>
      <c r="C11" s="14" t="inlineStr">
        <is>
          <t>플럼 반짝이</t>
        </is>
      </c>
      <c r="D11" s="14" t="inlineStr">
        <is>
          <t>벽지/바닥</t>
        </is>
      </c>
      <c r="E11" s="10" t="n">
        <v>8</v>
      </c>
      <c r="F11" s="10" t="n">
        <v>0</v>
      </c>
    </row>
    <row r="12" ht="17.15" customHeight="1" s="11">
      <c r="A12" s="14" t="inlineStr">
        <is>
          <t>서랍</t>
        </is>
      </c>
      <c r="B12" s="10" t="inlineStr">
        <is>
          <t>floor_check_pink</t>
        </is>
      </c>
      <c r="C12" s="14" t="inlineStr">
        <is>
          <t>핑크 체크</t>
        </is>
      </c>
      <c r="D12" s="14" t="inlineStr">
        <is>
          <t>벽지/바닥</t>
        </is>
      </c>
      <c r="E12" s="10" t="n">
        <v>8</v>
      </c>
      <c r="F12" s="10" t="n">
        <v>240</v>
      </c>
    </row>
    <row r="13" ht="17.15" customHeight="1" s="11">
      <c r="A13" s="14" t="inlineStr">
        <is>
          <t>서랍</t>
        </is>
      </c>
      <c r="B13" s="10" t="inlineStr">
        <is>
          <t>wall_mint_gingham</t>
        </is>
      </c>
      <c r="C13" s="14" t="inlineStr">
        <is>
          <t>민트 깅엄</t>
        </is>
      </c>
      <c r="D13" s="14" t="inlineStr">
        <is>
          <t>벽지/바닥</t>
        </is>
      </c>
      <c r="E13" s="10" t="n">
        <v>8</v>
      </c>
      <c r="F13" s="10" t="n">
        <v>240</v>
      </c>
    </row>
    <row r="14" ht="15" customHeight="1" s="11">
      <c r="A14" s="14" t="inlineStr">
        <is>
          <t>서랍</t>
        </is>
      </c>
      <c r="B14" s="10" t="inlineStr">
        <is>
          <t>cushions</t>
        </is>
      </c>
      <c r="C14" s="14" t="inlineStr">
        <is>
          <t>방석 더미</t>
        </is>
      </c>
      <c r="D14" s="14" t="inlineStr">
        <is>
          <t>작은 소품</t>
        </is>
      </c>
      <c r="E14" s="10" t="n">
        <v>4</v>
      </c>
      <c r="F14" s="10" t="n">
        <v>100</v>
      </c>
    </row>
    <row r="15" ht="15" customHeight="1" s="11">
      <c r="A15" s="14" t="inlineStr">
        <is>
          <t>서랍</t>
        </is>
      </c>
      <c r="B15" s="10" t="inlineStr">
        <is>
          <t>yarnbasket</t>
        </is>
      </c>
      <c r="C15" s="14" t="inlineStr">
        <is>
          <t>털실 바구니</t>
        </is>
      </c>
      <c r="D15" s="14" t="inlineStr">
        <is>
          <t>작은 소품</t>
        </is>
      </c>
      <c r="E15" s="10" t="n">
        <v>4</v>
      </c>
      <c r="F15" s="10" t="n">
        <v>90</v>
      </c>
      <c r="G15" t="inlineStr">
        <is>
          <t>메모</t>
        </is>
      </c>
    </row>
    <row r="16" ht="17.15" customHeight="1" s="11">
      <c r="A16" s="14" t="inlineStr">
        <is>
          <t>출석 1일차 (출석 한정)</t>
        </is>
      </c>
      <c r="B16" s="10" t="inlineStr">
        <is>
          <t>att_moon_cactus</t>
        </is>
      </c>
      <c r="C16" s="14" t="inlineStr">
        <is>
          <t>달빛 냥이 선인장</t>
        </is>
      </c>
      <c r="D16" s="14" t="inlineStr">
        <is>
          <t>작은 소품</t>
        </is>
      </c>
      <c r="E16" s="10" t="n">
        <v>4</v>
      </c>
      <c r="F16" s="10" t="n">
        <v>80</v>
      </c>
      <c r="G16" t="inlineStr">
        <is>
          <t>출석 아이템은 가격 없음(구매 불가) → 가격 환산 합계에서 제외</t>
        </is>
      </c>
    </row>
    <row r="17" ht="17.15" customHeight="1" s="11">
      <c r="A17" s="14" t="inlineStr">
        <is>
          <t>출석 2일차 (출석 한정)</t>
        </is>
      </c>
      <c r="B17" s="10" t="inlineStr">
        <is>
          <t>att_stamp_calendar</t>
        </is>
      </c>
      <c r="C17" s="14" t="inlineStr">
        <is>
          <t>출석 도장 달력</t>
        </is>
      </c>
      <c r="D17" s="14" t="inlineStr">
        <is>
          <t>벽 꾸미기</t>
        </is>
      </c>
      <c r="E17" s="10" t="n">
        <v>6</v>
      </c>
      <c r="F17" s="10" t="n">
        <v>100</v>
      </c>
    </row>
    <row r="18" ht="17.15" customHeight="1" s="11">
      <c r="A18" s="14" t="inlineStr">
        <is>
          <t>출석 3일차 (출석 한정)</t>
        </is>
      </c>
      <c r="B18" s="10" t="inlineStr">
        <is>
          <t>att_pink_starlight</t>
        </is>
      </c>
      <c r="C18" s="14" t="inlineStr">
        <is>
          <t>핑크 별 수면등</t>
        </is>
      </c>
      <c r="D18" s="14" t="inlineStr">
        <is>
          <t>작은 소품</t>
        </is>
      </c>
      <c r="E18" s="10" t="n">
        <v>4</v>
      </c>
      <c r="F18" s="10" t="n">
        <v>110</v>
      </c>
    </row>
    <row r="19" ht="17.15" customHeight="1" s="11">
      <c r="A19" s="14" t="inlineStr">
        <is>
          <t>출석 4일차 (출석 한정)</t>
        </is>
      </c>
      <c r="B19" s="10" t="inlineStr">
        <is>
          <t>att_night_bunting</t>
        </is>
      </c>
      <c r="C19" s="14" t="inlineStr">
        <is>
          <t>밤하늘 가랜드</t>
        </is>
      </c>
      <c r="D19" s="14" t="inlineStr">
        <is>
          <t>벽 꾸미기</t>
        </is>
      </c>
      <c r="E19" s="10" t="n">
        <v>6</v>
      </c>
      <c r="F19" s="10" t="n">
        <v>130</v>
      </c>
    </row>
    <row r="20" ht="17.15" customHeight="1" s="11">
      <c r="A20" s="14" t="inlineStr">
        <is>
          <t>출석 5일차 (출석 한정)</t>
        </is>
      </c>
      <c r="B20" s="10" t="inlineStr">
        <is>
          <t>att_moon_globe</t>
        </is>
      </c>
      <c r="C20" s="14" t="inlineStr">
        <is>
          <t>달빛 지구본</t>
        </is>
      </c>
      <c r="D20" s="14" t="inlineStr">
        <is>
          <t>작은 소품</t>
        </is>
      </c>
      <c r="E20" s="10" t="n">
        <v>4</v>
      </c>
      <c r="F20" s="10" t="n">
        <v>120</v>
      </c>
    </row>
    <row r="21" ht="17.15" customHeight="1" s="11">
      <c r="A21" s="14" t="inlineStr">
        <is>
          <t>출석 6일차 (출석 한정)</t>
        </is>
      </c>
      <c r="B21" s="10" t="inlineStr">
        <is>
          <t>att_sakura_fishbowl</t>
        </is>
      </c>
      <c r="C21" s="14" t="inlineStr">
        <is>
          <t>벚꽃 금붕어 어항</t>
        </is>
      </c>
      <c r="D21" s="14" t="inlineStr">
        <is>
          <t>작은 소품</t>
        </is>
      </c>
      <c r="E21" s="10" t="n">
        <v>4</v>
      </c>
      <c r="F21" s="10" t="n">
        <v>120</v>
      </c>
    </row>
    <row r="22" ht="17.15" customHeight="1" s="11">
      <c r="A22" s="14" t="inlineStr">
        <is>
          <t>출석 7일차 (출석 한정)</t>
        </is>
      </c>
      <c r="B22" s="10" t="inlineStr">
        <is>
          <t>att_moon_cattower</t>
        </is>
      </c>
      <c r="C22" s="14" t="inlineStr">
        <is>
          <t>달밤 캣타워</t>
        </is>
      </c>
      <c r="D22" s="14" t="inlineStr">
        <is>
          <t>큰/테마 대표 가구</t>
        </is>
      </c>
      <c r="E22" s="10" t="n">
        <v>25</v>
      </c>
      <c r="F22" s="10" t="n">
        <v>600</v>
      </c>
    </row>
    <row r="23" ht="15" customHeight="1" s="11">
      <c r="A23" s="13" t="inlineStr">
        <is>
          <t>합계</t>
        </is>
      </c>
      <c r="E23" s="10">
        <f>SUM(E4:E22)</f>
        <v/>
      </c>
      <c r="F23" s="10">
        <f>SUM(F4:F22)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style="11" min="1" max="1"/>
    <col width="22" customWidth="1" style="11" min="2" max="2"/>
    <col width="22" customWidth="1" style="11" min="3" max="3"/>
    <col width="16" customWidth="1" style="11" min="4" max="4"/>
    <col width="14" customWidth="1" style="11" min="5" max="5"/>
    <col width="16" customWidth="1" style="11" min="6" max="6"/>
  </cols>
  <sheetData>
    <row r="1">
      <c r="A1" s="21" t="inlineStr">
        <is>
          <t>출석 보상 (starter.json → attendance) — 노란 칸은 입력값</t>
        </is>
      </c>
    </row>
    <row r="2"/>
    <row r="3">
      <c r="A3" t="inlineStr">
        <is>
          <t>규칙</t>
        </is>
      </c>
      <c r="B3" t="inlineStr">
        <is>
          <t>누적 출석일 기준 · 빠져도 리셋 없음 · 하루 1회(KST 00:00)</t>
        </is>
      </c>
    </row>
    <row r="4"/>
    <row r="5">
      <c r="A5" s="22" t="inlineStr">
        <is>
          <t>1주차 (처음 한 번)</t>
        </is>
      </c>
      <c r="B5" s="22" t="inlineStr">
        <is>
          <t>id</t>
        </is>
      </c>
      <c r="C5" s="22" t="inlineStr">
        <is>
          <t>이름</t>
        </is>
      </c>
      <c r="D5" s="22" t="inlineStr">
        <is>
          <t>등급</t>
        </is>
      </c>
      <c r="E5" s="22" t="inlineStr">
        <is>
          <t>코지</t>
        </is>
      </c>
      <c r="F5" s="22" t="inlineStr">
        <is>
          <t>구매</t>
        </is>
      </c>
    </row>
    <row r="6">
      <c r="A6" t="inlineStr">
        <is>
          <t>1일차</t>
        </is>
      </c>
      <c r="B6" t="inlineStr">
        <is>
          <t>att_moon_cactus</t>
        </is>
      </c>
      <c r="C6" t="inlineStr">
        <is>
          <t>달빛 냥이 선인장</t>
        </is>
      </c>
      <c r="D6" t="inlineStr">
        <is>
          <t>작은 소품</t>
        </is>
      </c>
      <c r="E6" t="n">
        <v>4</v>
      </c>
      <c r="F6" t="inlineStr">
        <is>
          <t>불가 · 출석 한정</t>
        </is>
      </c>
    </row>
    <row r="7">
      <c r="A7" t="inlineStr">
        <is>
          <t>2일차</t>
        </is>
      </c>
      <c r="B7" t="inlineStr">
        <is>
          <t>att_stamp_calendar</t>
        </is>
      </c>
      <c r="C7" t="inlineStr">
        <is>
          <t>출석 도장 달력</t>
        </is>
      </c>
      <c r="D7" t="inlineStr">
        <is>
          <t>벽 꾸미기</t>
        </is>
      </c>
      <c r="E7" t="n">
        <v>6</v>
      </c>
      <c r="F7" t="inlineStr">
        <is>
          <t>불가 · 출석 한정</t>
        </is>
      </c>
    </row>
    <row r="8">
      <c r="A8" t="inlineStr">
        <is>
          <t>3일차</t>
        </is>
      </c>
      <c r="B8" t="inlineStr">
        <is>
          <t>att_pink_starlight</t>
        </is>
      </c>
      <c r="C8" t="inlineStr">
        <is>
          <t>핑크 별 수면등</t>
        </is>
      </c>
      <c r="D8" t="inlineStr">
        <is>
          <t>작은 소품</t>
        </is>
      </c>
      <c r="E8" t="n">
        <v>4</v>
      </c>
      <c r="F8" t="inlineStr">
        <is>
          <t>불가 · 출석 한정</t>
        </is>
      </c>
    </row>
    <row r="9">
      <c r="A9" t="inlineStr">
        <is>
          <t>4일차</t>
        </is>
      </c>
      <c r="B9" t="inlineStr">
        <is>
          <t>att_night_bunting</t>
        </is>
      </c>
      <c r="C9" t="inlineStr">
        <is>
          <t>밤하늘 가랜드</t>
        </is>
      </c>
      <c r="D9" t="inlineStr">
        <is>
          <t>벽 꾸미기</t>
        </is>
      </c>
      <c r="E9" t="n">
        <v>6</v>
      </c>
      <c r="F9" t="inlineStr">
        <is>
          <t>불가 · 출석 한정</t>
        </is>
      </c>
    </row>
    <row r="10">
      <c r="A10" t="inlineStr">
        <is>
          <t>5일차</t>
        </is>
      </c>
      <c r="B10" t="inlineStr">
        <is>
          <t>att_moon_globe</t>
        </is>
      </c>
      <c r="C10" t="inlineStr">
        <is>
          <t>달빛 지구본</t>
        </is>
      </c>
      <c r="D10" t="inlineStr">
        <is>
          <t>작은 소품</t>
        </is>
      </c>
      <c r="E10" t="n">
        <v>4</v>
      </c>
      <c r="F10" t="inlineStr">
        <is>
          <t>불가 · 출석 한정</t>
        </is>
      </c>
    </row>
    <row r="11">
      <c r="A11" t="inlineStr">
        <is>
          <t>6일차</t>
        </is>
      </c>
      <c r="B11" t="inlineStr">
        <is>
          <t>att_sakura_fishbowl</t>
        </is>
      </c>
      <c r="C11" t="inlineStr">
        <is>
          <t>벚꽃 금붕어 어항</t>
        </is>
      </c>
      <c r="D11" t="inlineStr">
        <is>
          <t>작은 소품</t>
        </is>
      </c>
      <c r="E11" t="n">
        <v>4</v>
      </c>
      <c r="F11" t="inlineStr">
        <is>
          <t>불가 · 출석 한정</t>
        </is>
      </c>
    </row>
    <row r="12">
      <c r="A12" t="inlineStr">
        <is>
          <t>7일차</t>
        </is>
      </c>
      <c r="B12" t="inlineStr">
        <is>
          <t>att_moon_cattower</t>
        </is>
      </c>
      <c r="C12" t="inlineStr">
        <is>
          <t>달밤 캣타워</t>
        </is>
      </c>
      <c r="D12" t="inlineStr">
        <is>
          <t>큰/테마 대표 가구</t>
        </is>
      </c>
      <c r="E12" t="n">
        <v>25</v>
      </c>
      <c r="F12" t="inlineStr">
        <is>
          <t>불가 · 출석 한정</t>
        </is>
      </c>
    </row>
    <row r="13"/>
    <row r="14">
      <c r="A14" s="22" t="inlineStr">
        <is>
          <t>주간 반복 (8일차~)</t>
        </is>
      </c>
      <c r="B14" s="22" t="inlineStr">
        <is>
          <t>포인트</t>
        </is>
      </c>
      <c r="C14" s="22" t="inlineStr">
        <is>
          <t>비고</t>
        </is>
      </c>
      <c r="D14" s="22" t="n"/>
      <c r="E14" s="22" t="n"/>
      <c r="F14" s="22" t="n"/>
    </row>
    <row r="15">
      <c r="A15" t="inlineStr">
        <is>
          <t>1일차</t>
        </is>
      </c>
      <c r="B15" s="23" t="n">
        <v>10</v>
      </c>
      <c r="C15" t="inlineStr"/>
    </row>
    <row r="16">
      <c r="A16" t="inlineStr">
        <is>
          <t>2일차</t>
        </is>
      </c>
      <c r="B16" s="23" t="n">
        <v>10</v>
      </c>
      <c r="C16" t="inlineStr"/>
    </row>
    <row r="17">
      <c r="A17" t="inlineStr">
        <is>
          <t>3일차</t>
        </is>
      </c>
      <c r="B17" s="23" t="n">
        <v>15</v>
      </c>
      <c r="C17" t="inlineStr"/>
    </row>
    <row r="18">
      <c r="A18" t="inlineStr">
        <is>
          <t>4일차</t>
        </is>
      </c>
      <c r="B18" s="23" t="n">
        <v>15</v>
      </c>
      <c r="C18" t="inlineStr"/>
    </row>
    <row r="19">
      <c r="A19" t="inlineStr">
        <is>
          <t>5일차</t>
        </is>
      </c>
      <c r="B19" s="23" t="n">
        <v>20</v>
      </c>
      <c r="C19" t="inlineStr"/>
    </row>
    <row r="20">
      <c r="A20" t="inlineStr">
        <is>
          <t>6일차</t>
        </is>
      </c>
      <c r="B20" s="23" t="n">
        <v>20</v>
      </c>
      <c r="C20" t="inlineStr"/>
    </row>
    <row r="21">
      <c r="A21" t="inlineStr">
        <is>
          <t>7일차</t>
        </is>
      </c>
      <c r="B21" t="inlineStr"/>
      <c r="C21" t="inlineStr">
        <is>
          <t>홀수 주기: 출석 선물 상자 / 짝수 주기: 확률업 뽑기권 1장 (mode)</t>
        </is>
      </c>
    </row>
    <row r="22">
      <c r="A22" t="inlineStr">
        <is>
          <t>주간 포인트 합계</t>
        </is>
      </c>
      <c r="B22">
        <f>SUM(B15:B20)</f>
        <v/>
      </c>
      <c r="C22" t="inlineStr"/>
    </row>
    <row r="23"/>
    <row r="24">
      <c r="A24" s="22" t="inlineStr">
        <is>
          <t>출석 선물 상자 풀</t>
        </is>
      </c>
      <c r="B24" s="22" t="inlineStr">
        <is>
          <t>id</t>
        </is>
      </c>
      <c r="C24" s="22" t="inlineStr">
        <is>
          <t>이름</t>
        </is>
      </c>
      <c r="D24" s="22" t="inlineStr">
        <is>
          <t>등급</t>
        </is>
      </c>
      <c r="E24" s="22" t="inlineStr">
        <is>
          <t>코지</t>
        </is>
      </c>
      <c r="F24" s="22" t="inlineStr">
        <is>
          <t>구매</t>
        </is>
      </c>
    </row>
    <row r="25">
      <c r="A25" t="inlineStr">
        <is>
          <t>상자</t>
        </is>
      </c>
      <c r="B25" t="inlineStr">
        <is>
          <t>att_lav_moonlamp</t>
        </is>
      </c>
      <c r="C25" t="inlineStr">
        <is>
          <t>라벤더 달 무드등</t>
        </is>
      </c>
      <c r="D25" t="inlineStr">
        <is>
          <t>작은 소품</t>
        </is>
      </c>
      <c r="E25" t="n">
        <v>4</v>
      </c>
      <c r="F25" t="inlineStr">
        <is>
          <t>불가 · 출석 한정</t>
        </is>
      </c>
    </row>
    <row r="26">
      <c r="A26" t="inlineStr">
        <is>
          <t>상자</t>
        </is>
      </c>
      <c r="B26" t="inlineStr">
        <is>
          <t>att_rose_gramophone</t>
        </is>
      </c>
      <c r="C26" t="inlineStr">
        <is>
          <t>로즈 축음기</t>
        </is>
      </c>
      <c r="D26" t="inlineStr">
        <is>
          <t>작은 소품</t>
        </is>
      </c>
      <c r="E26" t="n">
        <v>4</v>
      </c>
      <c r="F26" t="inlineStr">
        <is>
          <t>불가 · 출석 한정</t>
        </is>
      </c>
    </row>
    <row r="27">
      <c r="A27" t="inlineStr">
        <is>
          <t>상자</t>
        </is>
      </c>
      <c r="B27" t="inlineStr">
        <is>
          <t>att_mint_yarnbasket</t>
        </is>
      </c>
      <c r="C27" t="inlineStr">
        <is>
          <t>민트 털실 바구니</t>
        </is>
      </c>
      <c r="D27" t="inlineStr">
        <is>
          <t>작은 소품</t>
        </is>
      </c>
      <c r="E27" t="n">
        <v>4</v>
      </c>
      <c r="F27" t="inlineStr">
        <is>
          <t>불가 · 출석 한정</t>
        </is>
      </c>
    </row>
    <row r="28">
      <c r="A28" t="inlineStr">
        <is>
          <t>상자</t>
        </is>
      </c>
      <c r="B28" t="inlineStr">
        <is>
          <t>att_lav_cushions</t>
        </is>
      </c>
      <c r="C28" t="inlineStr">
        <is>
          <t>파스텔 방석 더미</t>
        </is>
      </c>
      <c r="D28" t="inlineStr">
        <is>
          <t>작은 소품</t>
        </is>
      </c>
      <c r="E28" t="n">
        <v>4</v>
      </c>
      <c r="F28" t="inlineStr">
        <is>
          <t>불가 · 출석 한정</t>
        </is>
      </c>
    </row>
    <row r="29">
      <c r="A29" t="inlineStr">
        <is>
          <t>상자</t>
        </is>
      </c>
      <c r="B29" t="inlineStr">
        <is>
          <t>att_sky_catclock</t>
        </is>
      </c>
      <c r="C29" t="inlineStr">
        <is>
          <t>하늘빛 냥이 벽시계</t>
        </is>
      </c>
      <c r="D29" t="inlineStr">
        <is>
          <t>벽 꾸미기</t>
        </is>
      </c>
      <c r="E29" t="n">
        <v>6</v>
      </c>
      <c r="F29" t="inlineStr">
        <is>
          <t>불가 · 출석 한정</t>
        </is>
      </c>
    </row>
    <row r="30">
      <c r="A30" t="inlineStr">
        <is>
          <t>다 모은 뒤</t>
        </is>
      </c>
      <c r="B30" t="inlineStr"/>
      <c r="C30" t="inlineStr">
        <is>
          <t>100 포인트로 대체</t>
        </is>
      </c>
    </row>
    <row r="31"/>
    <row r="32">
      <c r="A32" s="22" t="inlineStr">
        <is>
          <t>누적 기념</t>
        </is>
      </c>
      <c r="B32" s="22" t="inlineStr">
        <is>
          <t>id</t>
        </is>
      </c>
      <c r="C32" s="22" t="inlineStr">
        <is>
          <t>이름</t>
        </is>
      </c>
      <c r="D32" s="22" t="inlineStr">
        <is>
          <t>등급</t>
        </is>
      </c>
      <c r="E32" s="22" t="inlineStr">
        <is>
          <t>배지</t>
        </is>
      </c>
      <c r="F32" s="22" t="inlineStr">
        <is>
          <t>구매</t>
        </is>
      </c>
    </row>
    <row r="33">
      <c r="A33" t="inlineStr">
        <is>
          <t>30일</t>
        </is>
      </c>
      <c r="B33" t="inlineStr">
        <is>
          <t>att_m30_goldneon</t>
        </is>
      </c>
      <c r="C33" t="inlineStr">
        <is>
          <t>30일 골드 하트 네온</t>
        </is>
      </c>
      <c r="D33" t="inlineStr">
        <is>
          <t>벽 꾸미기</t>
        </is>
      </c>
      <c r="E33" t="inlineStr">
        <is>
          <t>badge_att_30</t>
        </is>
      </c>
      <c r="F33" t="inlineStr">
        <is>
          <t>불가 · 출석 한정</t>
        </is>
      </c>
    </row>
    <row r="34">
      <c r="A34" t="inlineStr">
        <is>
          <t>100일</t>
        </is>
      </c>
      <c r="B34" t="inlineStr">
        <is>
          <t>att_m100_nightlamp</t>
        </is>
      </c>
      <c r="C34" t="inlineStr">
        <is>
          <t>100일 별밤 벽등</t>
        </is>
      </c>
      <c r="D34" t="inlineStr">
        <is>
          <t>벽 꾸미기</t>
        </is>
      </c>
      <c r="E34" t="inlineStr">
        <is>
          <t>badge_att_100</t>
        </is>
      </c>
      <c r="F34" t="inlineStr">
        <is>
          <t>불가 · 출석 한정</t>
        </is>
      </c>
    </row>
    <row r="35"/>
    <row r="36">
      <c r="A36" t="inlineStr">
        <is>
          <t>30일 동안 받는 포인트(1주차 후 23일)</t>
        </is>
      </c>
      <c r="B36">
        <f>B22*3+B15+B16</f>
        <v/>
      </c>
    </row>
    <row r="37">
      <c r="A37" t="inlineStr">
        <is>
          <t>참고</t>
        </is>
      </c>
      <c r="B37" t="inlineStr">
        <is>
          <t>광고 포인트 하루 최대 100 대비 출석은 주 90 + 7일차 보너스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10" min="1" max="1"/>
    <col width="16" customWidth="1" style="10" min="2" max="2"/>
    <col width="22" customWidth="1" style="10" min="3" max="3"/>
    <col width="46" customWidth="1" style="10" min="4" max="4"/>
    <col width="40" customWidth="1" style="10" min="5" max="5"/>
    <col width="30" customWidth="1" style="10" min="6" max="6"/>
  </cols>
  <sheetData>
    <row r="1" ht="17.15" customHeight="1" s="11">
      <c r="A1" s="18" t="inlineStr">
        <is>
          <t>단계</t>
        </is>
      </c>
      <c r="B1" s="18" t="inlineStr">
        <is>
          <t>화면</t>
        </is>
      </c>
      <c r="C1" s="18" t="inlineStr">
        <is>
          <t>대상 요소</t>
        </is>
      </c>
      <c r="D1" s="18" t="inlineStr">
        <is>
          <t>문구</t>
        </is>
      </c>
      <c r="E1" s="18" t="inlineStr">
        <is>
          <t>토스트/보조</t>
        </is>
      </c>
      <c r="F1" s="18" t="inlineStr">
        <is>
          <t>동작</t>
        </is>
      </c>
    </row>
    <row r="2" ht="17.15" customHeight="1" s="11">
      <c r="A2" s="10" t="n">
        <v>1</v>
      </c>
      <c r="B2" s="10" t="inlineStr">
        <is>
          <t>main</t>
        </is>
      </c>
      <c r="C2" s="10" t="inlineStr">
        <is>
          <t>#stage-cat</t>
        </is>
      </c>
      <c r="D2" s="14" t="inlineStr">
        <is>
          <t>톡, 깨워 볼까요?</t>
        </is>
      </c>
      <c r="E2" s="14" t="inlineStr">
        <is>
          <t>첫 뽑기는 광고 없이 무료예요</t>
        </is>
      </c>
      <c r="F2" s="10" t="inlineStr">
        <is>
          <t>tap</t>
        </is>
      </c>
    </row>
    <row r="3" ht="17.15" customHeight="1" s="11">
      <c r="A3" s="10" t="n">
        <v>2</v>
      </c>
      <c r="B3" s="10" t="inlineStr">
        <is>
          <t>draw-reveal</t>
        </is>
      </c>
      <c r="C3" s="10" t="inlineStr">
        <is>
          <t>#reveal-card</t>
        </is>
      </c>
      <c r="D3" s="14" t="inlineStr">
        <is>
          <t>오늘의 행운 문구가 도착했어요</t>
        </is>
      </c>
      <c r="E3" s="14" t="inlineStr">
        <is>
          <t>도감에 등록됐어요! 토스 1원 받았어요</t>
        </is>
      </c>
      <c r="F3" s="10" t="inlineStr">
        <is>
          <t>tap #btn-to-dex (도감에 넣기)</t>
        </is>
      </c>
    </row>
    <row r="4" ht="15" customHeight="1" s="11">
      <c r="A4" s="10" t="n">
        <v>3</v>
      </c>
      <c r="B4" s="10" t="inlineStr">
        <is>
          <t>main→dex</t>
        </is>
      </c>
      <c r="C4" s="10" t="inlineStr">
        <is>
          <t>#icon-dex</t>
        </is>
      </c>
      <c r="D4" s="14" t="inlineStr">
        <is>
          <t>도감에서 모은 카드를 볼 수 있어요</t>
        </is>
      </c>
      <c r="E4" s="14" t="inlineStr">
        <is>
          <t>방금 뽑은 카드가 여기 들어갔어요</t>
        </is>
      </c>
      <c r="F4" s="10" t="inlineStr">
        <is>
          <t>tap</t>
        </is>
      </c>
    </row>
    <row r="5" ht="17.15" customHeight="1" s="11">
      <c r="A5" s="10" t="n">
        <v>4</v>
      </c>
      <c r="B5" s="10" t="inlineStr">
        <is>
          <t>room</t>
        </is>
      </c>
      <c r="C5" s="10" t="inlineStr">
        <is>
          <t>#drawer-item-0</t>
        </is>
      </c>
      <c r="D5" s="14" t="inlineStr">
        <is>
          <t>서랍에서 아이템을 꺼내 방에 놓아 보세요</t>
        </is>
      </c>
      <c r="E5" s="14" t="inlineStr">
        <is>
          <t>다 꾸몄으면 완료를 눌러요</t>
        </is>
      </c>
      <c r="F5" s="10" t="inlineStr">
        <is>
          <t>drag + tap 완료</t>
        </is>
      </c>
    </row>
    <row r="7" ht="17.15" customHeight="1" s="11">
      <c r="A7" s="14" t="inlineStr">
        <is>
          <t>건너뛰기: 모든 단계 우상단 "건너뛰기", 보상은 그대로 지급. 1분 이내.</t>
        </is>
      </c>
    </row>
    <row r="9" ht="15" customHeight="1" s="11">
      <c r="A9" s="18" t="inlineStr">
        <is>
          <t>일차</t>
        </is>
      </c>
      <c r="B9" s="20" t="inlineStr">
        <is>
          <t>id</t>
        </is>
      </c>
      <c r="C9" s="18" t="inlineStr">
        <is>
          <t>대상 요소</t>
        </is>
      </c>
      <c r="D9" s="18" t="inlineStr">
        <is>
          <t>새 기능 말풍선 문구</t>
        </is>
      </c>
    </row>
    <row r="10" ht="17.15" customHeight="1" s="11">
      <c r="A10" s="10" t="n">
        <v>2</v>
      </c>
      <c r="B10" s="10" t="inlineStr">
        <is>
          <t>intro-extra-draws</t>
        </is>
      </c>
      <c r="C10" s="10" t="inlineStr">
        <is>
          <t>#chip-draws</t>
        </is>
      </c>
      <c r="D10" s="14" t="inlineStr">
        <is>
          <t>광고를 보면 하루 2번 더 뽑을 수 있어요</t>
        </is>
      </c>
    </row>
    <row r="11" ht="17.15" customHeight="1" s="11">
      <c r="A11" s="10" t="n">
        <v>3</v>
      </c>
      <c r="B11" s="10" t="inlineStr">
        <is>
          <t>intro-rateup</t>
        </is>
      </c>
      <c r="C11" s="10" t="inlineStr">
        <is>
          <t>#btn-rateup</t>
        </is>
      </c>
      <c r="D11" s="14" t="inlineStr">
        <is>
          <t>확률업 뽑기가 열렸어요! 레어 이상이 더 잘 나와요</t>
        </is>
      </c>
    </row>
    <row r="12" ht="17.15" customHeight="1" s="11">
      <c r="A12" s="10" t="n">
        <v>4</v>
      </c>
      <c r="B12" s="10" t="inlineStr">
        <is>
          <t>intro-paw-ads</t>
        </is>
      </c>
      <c r="C12" s="10" t="inlineStr">
        <is>
          <t>#btn-paw-ad</t>
        </is>
      </c>
      <c r="D12" s="14" t="inlineStr">
        <is>
          <t>광고 보고 포인트 10개 받아요 (하루 10번까지)</t>
        </is>
      </c>
    </row>
    <row r="13" ht="15" customHeight="1" s="11">
      <c r="A13" s="10" t="n">
        <v>5</v>
      </c>
      <c r="B13" s="10" t="inlineStr">
        <is>
          <t>intro-dup-convert</t>
        </is>
      </c>
      <c r="C13" s="10" t="inlineStr">
        <is>
          <t>#dex-dup-convert</t>
        </is>
      </c>
      <c r="D13" s="14" t="inlineStr">
        <is>
          <t>겹친 카드는 포인트로 바꿀 수 있어요</t>
        </is>
      </c>
    </row>
    <row r="14" ht="15" customHeight="1" s="11">
      <c r="A14" s="10" t="n">
        <v>6</v>
      </c>
      <c r="B14" s="10" t="inlineStr">
        <is>
          <t>intro-cozy</t>
        </is>
      </c>
      <c r="C14" s="10" t="inlineStr">
        <is>
          <t>#cozy-meter</t>
        </is>
      </c>
      <c r="D14" s="14" t="inlineStr">
        <is>
          <t>아이템을 모을수록 아늑함 레벨이 올라가요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10" min="1" max="1"/>
    <col width="32" customWidth="1" style="10" min="2" max="2"/>
    <col width="34" customWidth="1" style="10" min="3" max="3"/>
    <col width="14" customWidth="1" style="10" min="4" max="4"/>
    <col width="24" customWidth="1" style="10" min="5" max="5"/>
  </cols>
  <sheetData>
    <row r="1" ht="17.15" customHeight="1" s="11">
      <c r="A1" s="18" t="inlineStr">
        <is>
          <t>지표</t>
        </is>
      </c>
      <c r="B1" s="18" t="inlineStr">
        <is>
          <t>정의</t>
        </is>
      </c>
      <c r="C1" s="18" t="inlineStr">
        <is>
          <t>계산</t>
        </is>
      </c>
      <c r="D1" s="18" t="inlineStr">
        <is>
          <t>목표 (입력)</t>
        </is>
      </c>
      <c r="E1" s="18" t="inlineStr">
        <is>
          <t>데이터</t>
        </is>
      </c>
    </row>
    <row r="2" ht="17.15" customHeight="1" s="11">
      <c r="A2" s="10" t="inlineStr">
        <is>
          <t>D1 리텐션</t>
        </is>
      </c>
      <c r="B2" s="14" t="inlineStr">
        <is>
          <t>설치 다음 날 재방문 비율</t>
        </is>
      </c>
      <c r="C2" s="10" t="inlineStr">
        <is>
          <t>D1 방문자 / 설치자</t>
        </is>
      </c>
      <c r="D2" s="17" t="n"/>
      <c r="E2" s="14" t="inlineStr">
        <is>
          <t>앱인토스 대시보드</t>
        </is>
      </c>
    </row>
    <row r="3" ht="17.15" customHeight="1" s="11">
      <c r="A3" s="10" t="inlineStr">
        <is>
          <t>D7 리텐션</t>
        </is>
      </c>
      <c r="B3" s="10" t="inlineStr">
        <is>
          <t>7일차 재방문 비율</t>
        </is>
      </c>
      <c r="C3" s="10" t="inlineStr">
        <is>
          <t>D7 방문자 / 설치자</t>
        </is>
      </c>
      <c r="D3" s="17" t="n"/>
      <c r="E3" s="14" t="inlineStr">
        <is>
          <t>앱인토스 대시보드</t>
        </is>
      </c>
    </row>
    <row r="4" ht="17.15" customHeight="1" s="11">
      <c r="A4" s="14" t="inlineStr">
        <is>
          <t>광고 시청 / DAU</t>
        </is>
      </c>
      <c r="B4" s="14" t="inlineStr">
        <is>
          <t>하루 1인당 광고 완료 수</t>
        </is>
      </c>
      <c r="C4" s="14" t="inlineStr">
        <is>
          <t>광고 완료 콜백 수 / DAU</t>
        </is>
      </c>
      <c r="D4" s="17" t="n"/>
      <c r="E4" s="14" t="inlineStr">
        <is>
          <t>서버 로그 (ad_complete)</t>
        </is>
      </c>
    </row>
    <row r="5" ht="17.15" customHeight="1" s="11">
      <c r="A5" s="14" t="inlineStr">
        <is>
          <t>광고 수익 / 유저</t>
        </is>
      </c>
      <c r="B5" s="10" t="inlineStr">
        <is>
          <t>1인당 일 광고 수익</t>
        </is>
      </c>
      <c r="C5" s="14" t="inlineStr">
        <is>
          <t>광고 수익 / DAU</t>
        </is>
      </c>
      <c r="D5" s="17" t="n"/>
      <c r="E5" s="14" t="inlineStr">
        <is>
          <t>앱인토스 대시보드</t>
        </is>
      </c>
    </row>
    <row r="6" ht="17.15" customHeight="1" s="11">
      <c r="A6" s="14" t="inlineStr">
        <is>
          <t>토스 지급 / 유저</t>
        </is>
      </c>
      <c r="B6" s="10" t="inlineStr">
        <is>
          <t>1인당 누적 토스 지급</t>
        </is>
      </c>
      <c r="C6" s="14" t="inlineStr">
        <is>
          <t>토스 지급 합 / 누적 유저</t>
        </is>
      </c>
      <c r="D6" s="17" t="n"/>
      <c r="E6" s="14" t="inlineStr">
        <is>
          <t>서버 reward_ledger</t>
        </is>
      </c>
    </row>
    <row r="7" ht="17.15" customHeight="1" s="11">
      <c r="A7" s="14" t="inlineStr">
        <is>
          <t>도감 완성률</t>
        </is>
      </c>
      <c r="B7" s="14" t="inlineStr">
        <is>
          <t>유저별 보유 카드 / 107 분포</t>
        </is>
      </c>
      <c r="C7" s="14" t="inlineStr">
        <is>
          <t>보유 카드 수 중앙값 / 107</t>
        </is>
      </c>
      <c r="D7" s="17" t="n"/>
      <c r="E7" s="14" t="inlineStr">
        <is>
          <t>서버 dex</t>
        </is>
      </c>
    </row>
    <row r="8" ht="17.15" customHeight="1" s="11">
      <c r="A8" s="14" t="inlineStr">
        <is>
          <t>뽑기 슬롯 사용률</t>
        </is>
      </c>
      <c r="B8" s="14" t="inlineStr">
        <is>
          <t>하루 4회 중 사용</t>
        </is>
      </c>
      <c r="C8" s="14" t="inlineStr">
        <is>
          <t>사용 뽑기 / (DAU×4)</t>
        </is>
      </c>
      <c r="D8" s="17" t="n"/>
      <c r="E8" s="14" t="inlineStr">
        <is>
          <t>서버 draws</t>
        </is>
      </c>
    </row>
    <row r="9" ht="17.15" customHeight="1" s="11">
      <c r="A9" s="14" t="inlineStr">
        <is>
          <t>포인트 수지</t>
        </is>
      </c>
      <c r="B9" s="14" t="inlineStr">
        <is>
          <t>발행 vs 소비</t>
        </is>
      </c>
      <c r="C9" s="14" t="inlineStr">
        <is>
          <t>발행 포인트 − 소비 포인트 (일별)</t>
        </is>
      </c>
      <c r="D9" s="17" t="n"/>
      <c r="E9" s="14" t="inlineStr">
        <is>
          <t>서버 paw_ledger</t>
        </is>
      </c>
    </row>
    <row r="10" ht="17.15" customHeight="1" s="11">
      <c r="A10" s="14" t="inlineStr">
        <is>
          <t>방 해금률</t>
        </is>
      </c>
      <c r="B10" s="14" t="inlineStr">
        <is>
          <t>카페/온실 해금 유저 비율</t>
        </is>
      </c>
      <c r="C10" s="14" t="inlineStr">
        <is>
          <t>해금 유저 / 활성 유저</t>
        </is>
      </c>
      <c r="D10" s="17" t="n"/>
      <c r="E10" s="14" t="inlineStr">
        <is>
          <t>서버 rooms</t>
        </is>
      </c>
    </row>
    <row r="11" ht="17.15" customHeight="1" s="11">
      <c r="A11" s="14" t="inlineStr">
        <is>
          <t>튜토리얼 완료율</t>
        </is>
      </c>
      <c r="B11" s="10" t="inlineStr">
        <is>
          <t>4단계 완료 or 건너뛰기</t>
        </is>
      </c>
      <c r="C11" s="14" t="inlineStr">
        <is>
          <t>완료 / 시작</t>
        </is>
      </c>
      <c r="D11" s="17" t="n"/>
      <c r="E11" s="14" t="inlineStr">
        <is>
          <t>클라이언트 이벤트</t>
        </is>
      </c>
    </row>
    <row r="13" ht="15" customHeight="1" s="11">
      <c r="A13" s="13" t="inlineStr">
        <is>
          <t>운영 이벤트</t>
        </is>
      </c>
    </row>
    <row r="14" ht="17.15" customHeight="1" s="11">
      <c r="A14" s="14" t="inlineStr">
        <is>
          <t>월간 카드팩: 새 카드 추가 시 economy.json tossPayout·도감 수 재계산</t>
        </is>
      </c>
    </row>
    <row r="15" ht="17.15" customHeight="1" s="11">
      <c r="A15" s="14" t="inlineStr">
        <is>
          <t>시즌 방: 해금 5,000 포인트+, 기간 한정 노출</t>
        </is>
      </c>
    </row>
    <row r="16" ht="17.15" customHeight="1" s="11">
      <c r="A16" s="14" t="inlineStr">
        <is>
          <t>한정 아이템: 크리스마스 트리·선물 상자 (겨울 시즌)</t>
        </is>
      </c>
    </row>
    <row r="17" ht="17.15" customHeight="1" s="11">
      <c r="A17" s="14" t="inlineStr">
        <is>
          <t>주말 포인트 2배: 광고 포인트만, events.weekendDoublePaw</t>
        </is>
      </c>
    </row>
    <row r="18" ht="17.15" customHeight="1" s="11">
      <c r="A18" s="14" t="inlineStr">
        <is>
          <t>친구 초대: 서로 100 포인트 (제안값, 기본 꺼짐)</t>
        </is>
      </c>
    </row>
    <row r="19" ht="17.15" customHeight="1" s="11">
      <c r="A19" s="14" t="inlineStr">
        <is>
          <t>어뷰징 방지: 토스 1원은 토스 계정당 1회 서버 검증, 광고 보상은 광고 완료 콜백 후에만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2026-10-11T10:05:48Z</dcterms:created>
  <dcterms:modified xmlns:dcterms="http://purl.org/dc/terms/" xmlns:xsi="http://www.w3.org/2001/XMLSchema-instance" xsi:type="dcterms:W3CDTF">2026-10-11T13:37:34Z</dcterms:modified>
  <cp:revision>0</cp:revision>
</cp:coreProperties>
</file>