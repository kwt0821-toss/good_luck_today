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첫 획득</t>
        </is>
      </c>
      <c r="B4" s="10" t="n">
        <v>107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4" t="inlineStr">
        <is>
          <t>품종 1–5★ 완성</t>
        </is>
      </c>
      <c r="B5" s="10" t="n">
        <v>18</v>
      </c>
      <c r="C5" s="17" t="n">
        <v>10</v>
      </c>
      <c r="D5" s="10">
        <f>B5*C5</f>
        <v/>
      </c>
      <c r="E5" s="17" t="n">
        <v>200</v>
      </c>
      <c r="F5" s="10">
        <f>B5*E5</f>
        <v/>
      </c>
    </row>
    <row r="6" ht="15" customHeight="1" s="11">
      <c r="A6" s="14" t="inlineStr">
        <is>
          <t>스페셜 세트 완성</t>
        </is>
      </c>
      <c r="B6" s="10" t="n">
        <v>1</v>
      </c>
      <c r="C6" s="17" t="n">
        <v>10</v>
      </c>
      <c r="D6" s="10">
        <f>B6*C6</f>
        <v/>
      </c>
      <c r="E6" s="17" t="n">
        <v>300</v>
      </c>
      <c r="F6" s="10">
        <f>B6*E6</f>
        <v/>
      </c>
    </row>
    <row r="7" ht="15" customHeight="1" s="11">
      <c r="A7" s="14" t="inlineStr">
        <is>
          <t>캐릭터 세트 완성</t>
        </is>
      </c>
      <c r="B7" s="10" t="n">
        <v>1</v>
      </c>
      <c r="C7" s="17" t="n">
        <v>10</v>
      </c>
      <c r="D7" s="10">
        <f>B7*C7</f>
        <v/>
      </c>
      <c r="E7" s="17" t="n">
        <v>300</v>
      </c>
      <c r="F7" s="10">
        <f>B7*E7</f>
        <v/>
      </c>
    </row>
    <row r="8" ht="15" customHeight="1" s="11">
      <c r="A8" s="14" t="inlineStr">
        <is>
          <t>레전드 세트 완성</t>
        </is>
      </c>
      <c r="B8" s="10" t="n">
        <v>1</v>
      </c>
      <c r="C8" s="17" t="n">
        <v>10</v>
      </c>
      <c r="D8" s="10">
        <f>B8*C8</f>
        <v/>
      </c>
      <c r="E8" s="17" t="n">
        <v>300</v>
      </c>
      <c r="F8" s="10">
        <f>B8*E8</f>
        <v/>
      </c>
    </row>
    <row r="9" ht="15" customHeight="1" s="11">
      <c r="A9" s="14" t="inlineStr">
        <is>
          <t>도감 전체 완성</t>
        </is>
      </c>
      <c r="B9" s="10" t="n">
        <v>1</v>
      </c>
      <c r="C9" s="17" t="n">
        <v>100</v>
      </c>
      <c r="D9" s="10">
        <f>B9*C9</f>
        <v/>
      </c>
      <c r="E9" s="17" t="n">
        <v>3000</v>
      </c>
      <c r="F9" s="10">
        <f>B9*E9</f>
        <v/>
      </c>
    </row>
    <row r="10" ht="15" customHeight="1" s="11">
      <c r="A10" s="13" t="inlineStr">
        <is>
          <t>합계</t>
        </is>
      </c>
      <c r="D10" s="13">
        <f>SUM(D4:D9)</f>
        <v/>
      </c>
      <c r="F10" s="10">
        <f>SUM(F4:F9)</f>
        <v/>
      </c>
    </row>
    <row r="11" ht="17.15" customHeight="1" s="11">
      <c r="A11" s="14" t="inlineStr">
        <is>
          <t>검증 (417냥코인이어야 해요)</t>
        </is>
      </c>
      <c r="D11" s="10">
        <f>IF(D10=417,"OK","확인 필요")</f>
        <v/>
      </c>
    </row>
    <row r="13" ht="16.15" customHeight="1" s="11">
      <c r="A13" s="16" t="inlineStr">
        <is>
          <t>광고 수익 손익분기</t>
        </is>
      </c>
    </row>
    <row r="14" ht="17.15" customHeight="1" s="11">
      <c r="A14" s="14" t="inlineStr">
        <is>
          <t>짧은 광고 eCPM (원)</t>
        </is>
      </c>
      <c r="B14" s="17" t="n"/>
      <c r="C14" s="14" t="inlineStr">
        <is>
          <t>앱인토스 대시보드에서 입력</t>
        </is>
      </c>
    </row>
    <row r="15" ht="17.15" customHeight="1" s="11">
      <c r="A15" s="14" t="inlineStr">
        <is>
          <t>긴 광고 eCPM (원)</t>
        </is>
      </c>
      <c r="B15" s="17" t="n"/>
      <c r="C15" s="14" t="inlineStr">
        <is>
          <t>앱인토스 대시보드에서 입력</t>
        </is>
      </c>
    </row>
    <row r="16" ht="17.15" customHeight="1" s="11">
      <c r="A16" s="14" t="inlineStr">
        <is>
          <t>기간(일)</t>
        </is>
      </c>
      <c r="B16" s="17" t="n">
        <v>30</v>
      </c>
    </row>
    <row r="17" ht="17.15" customHeight="1" s="11">
      <c r="A17" s="10" t="inlineStr">
        <is>
          <t>1인 하루 짧은 광고 수 (뽑기 3 + 포인트 8)</t>
        </is>
      </c>
      <c r="B17" s="17" t="n">
        <v>11</v>
      </c>
    </row>
    <row r="18" ht="17.15" customHeight="1" s="11">
      <c r="A18" s="10" t="inlineStr">
        <is>
          <t>1인 하루 긴 광고 수</t>
        </is>
      </c>
      <c r="B18" s="17" t="n">
        <v>1</v>
      </c>
    </row>
    <row r="19" ht="17.15" customHeight="1" s="11">
      <c r="A19" s="14" t="inlineStr">
        <is>
          <t>기간 내 1인 냥코인 적립(=토스포인트 원, 시뮬 30일 중앙값)</t>
        </is>
      </c>
      <c r="B19" s="17" t="n">
        <v>83</v>
      </c>
    </row>
    <row r="21" ht="17.15" customHeight="1" s="11">
      <c r="A21" s="14" t="inlineStr">
        <is>
          <t>기간 내 1인 광고 수익(원)</t>
        </is>
      </c>
      <c r="B21" s="10">
        <f>IF(OR(B14="",B15=""),"eCPM 입력 필요",B16*(B17*B14+B18*B15)/1000)</f>
        <v/>
      </c>
    </row>
    <row r="22" ht="17.15" customHeight="1" s="11">
      <c r="A22" s="10" t="inlineStr">
        <is>
          <t>1인 순이익(원) = 광고 수익 − 토스포인트 지급</t>
        </is>
      </c>
      <c r="B22" s="10">
        <f>IF(ISNUMBER(B21),B21-B19,"eCPM 입력 필요")</f>
        <v/>
      </c>
    </row>
    <row r="23" ht="17.15" customHeight="1" s="11">
      <c r="A23" s="14" t="inlineStr">
        <is>
          <t>손익분기 평균 eCPM (원, 모든 광고 동일 가정)</t>
        </is>
      </c>
      <c r="B23" s="10">
        <f>B19/(B16*(B17+B18)/1000)</f>
        <v/>
      </c>
    </row>
    <row r="24" ht="17.15" customHeight="1" s="11">
      <c r="A24" s="14" t="inlineStr">
        <is>
          <t>손익분기 짧은 광고 eCPM (긴 광고 eCPM 입력 시)</t>
        </is>
      </c>
      <c r="B24" s="10">
        <f>IF(B15="","긴 광고 eCPM 입력 필요",(B19*1000/B16-B18*B15)/B17)</f>
        <v/>
      </c>
    </row>
    <row r="25" ht="17.15" customHeight="1" s="11">
      <c r="A25" s="14" t="inlineStr">
        <is>
          <t>최대 적립 417냥코인 회수에 필요한 광고 수 (평균 eCPM 입력 시)</t>
        </is>
      </c>
      <c r="B25" s="10">
        <f>IF(B14="","eCPM 입력 필요",417*1000/B14)</f>
        <v/>
      </c>
    </row>
    <row r="27">
      <c r="A27" s="16" t="inlineStr">
        <is>
          <t>토스포인트로 받기 (출금 규칙)</t>
        </is>
      </c>
    </row>
    <row r="28">
      <c r="A28" s="14" t="inlineStr">
        <is>
          <t>출금 단위</t>
        </is>
      </c>
      <c r="B28" s="17" t="n">
        <v>10</v>
      </c>
    </row>
    <row r="29">
      <c r="A29" s="14" t="inlineStr">
        <is>
          <t>최소 출금</t>
        </is>
      </c>
      <c r="B29" s="17" t="n">
        <v>10</v>
      </c>
    </row>
    <row r="30">
      <c r="A30" s="14" t="inlineStr">
        <is>
          <t>1회 최대</t>
        </is>
      </c>
      <c r="B30" s="14" t="inlineStr">
        <is>
          <t>floor(잔액/10)×10</t>
        </is>
      </c>
    </row>
    <row r="31">
      <c r="A31" s="14" t="inlineStr">
        <is>
          <t>남는 냥코인</t>
        </is>
      </c>
      <c r="B31" s="14" t="inlineStr">
        <is>
          <t>그대로 보유 (예: 37 → 30 받고 7 남음)</t>
        </is>
      </c>
    </row>
    <row r="32">
      <c r="A32" s="14" t="inlineStr">
        <is>
          <t>검증</t>
        </is>
      </c>
      <c r="B32" s="14" t="inlineStr">
        <is>
          <t>서버: 10의 배수 · 10 이상 · 잔액 이하 · 계정당 동시 1건</t>
        </is>
      </c>
    </row>
    <row r="33">
      <c r="A33" s="14" t="inlineStr">
        <is>
          <t>멱등키</t>
        </is>
      </c>
      <c r="B33" s="14" t="inlineStr">
        <is>
          <t>tossUserKey + withdrawRequestId</t>
        </is>
      </c>
    </row>
    <row r="34">
      <c r="A34" s="14" t="inlineStr">
        <is>
          <t>지급</t>
        </is>
      </c>
      <c r="B34" s="14" t="inlineStr">
        <is>
          <t>서버→서버 토스 포인트 지급 API 호출, 실패 시 잔액 복구</t>
        </is>
      </c>
    </row>
    <row r="35">
      <c r="A35" s="14" t="inlineStr">
        <is>
          <t>주의</t>
        </is>
      </c>
      <c r="B35" s="14" t="inlineStr">
        <is>
          <t>지급 API 금액 한도·예산 충전·정책은 앱인토스 확인 필요</t>
        </is>
      </c>
    </row>
    <row r="36">
      <c r="A36" s="14" t="inlineStr">
        <is>
          <t>최대 적립 417 중 출금 가능</t>
        </is>
      </c>
      <c r="B36" s="14">
        <f>FLOOR(D10/10,1)*10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t="inlineStr">
        <is>
          <t>4-3 완료</t>
        </is>
      </c>
      <c r="B23" t="inlineStr">
        <is>
          <t>→ 5단계로 이동</t>
        </is>
      </c>
      <c r="C23" t="inlineStr">
        <is>
          <t>(tutorialDone은 5-3에서)</t>
        </is>
      </c>
    </row>
    <row r="24">
      <c r="A24" t="inlineStr">
        <is>
          <t>5-1</t>
        </is>
      </c>
      <c r="B24" t="inlineStr">
        <is>
          <t>메뉴 버튼</t>
        </is>
      </c>
      <c r="C24" t="inlineStr">
        <is>
          <t>메뉴에서 모은 냥코인을 확인할 수 있어요</t>
        </is>
      </c>
    </row>
    <row r="25">
      <c r="A25" t="inlineStr">
        <is>
          <t>5-2</t>
        </is>
      </c>
      <c r="B25" t="inlineStr">
        <is>
          <t>보상함 행</t>
        </is>
      </c>
      <c r="C25" t="inlineStr">
        <is>
          <t>보상함을 눌러 보세요</t>
        </is>
      </c>
    </row>
    <row r="26">
      <c r="A26" t="inlineStr">
        <is>
          <t>5-3</t>
        </is>
      </c>
      <c r="B26" t="inlineStr">
        <is>
          <t>지갑·출금 영역</t>
        </is>
      </c>
      <c r="C26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2026-10-13T03:32:34Z</dcterms:modified>
  <cp:revision>0</cp:revision>
</cp:coreProperties>
</file>