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포인트 경제" sheetId="2" state="visible" r:id="rId2"/>
    <sheet xmlns:r="http://schemas.openxmlformats.org/officeDocument/2006/relationships" name="아이템 가격" sheetId="3" state="visible" r:id="rId3"/>
    <sheet xmlns:r="http://schemas.openxmlformats.org/officeDocument/2006/relationships" name="방" sheetId="4" state="visible" r:id="rId4"/>
    <sheet xmlns:r="http://schemas.openxmlformats.org/officeDocument/2006/relationships" name="보상·토스 지급" sheetId="5" state="visible" r:id="rId5"/>
    <sheet xmlns:r="http://schemas.openxmlformats.org/officeDocument/2006/relationships" name="신규 지급" sheetId="6" state="visible" r:id="rId6"/>
    <sheet xmlns:r="http://schemas.openxmlformats.org/officeDocument/2006/relationships" name="튜토리얼" sheetId="7" state="visible" r:id="rId7"/>
    <sheet xmlns:r="http://schemas.openxmlformats.org/officeDocument/2006/relationships" name="운영 지표" sheetId="8" state="visible" r:id="rId8"/>
  </sheets>
  <definedNames>
    <definedName name="_xlnm._FilterDatabase" localSheetId="2" hidden="1">'아이템 가격'!$A$3:$J$147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3A2F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3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럭키캣 경제 설계 요약</t>
        </is>
      </c>
    </row>
    <row r="3">
      <c r="A3" s="2" t="inlineStr">
        <is>
          <t>하루 포인트 수입 (주간 평균)</t>
        </is>
      </c>
      <c r="B3">
        <f>'포인트 경제'!B12</f>
        <v/>
      </c>
    </row>
    <row r="4">
      <c r="A4" s="2" t="inlineStr">
        <is>
          <t>시작 포인트</t>
        </is>
      </c>
      <c r="B4" t="n">
        <v>300</v>
      </c>
    </row>
    <row r="5">
      <c r="A5" s="2" t="inlineStr">
        <is>
          <t>광고 포인트</t>
        </is>
      </c>
      <c r="B5" t="inlineStr">
        <is>
          <t>10 × 하루 10회 = 최대 100</t>
        </is>
      </c>
    </row>
    <row r="6">
      <c r="A6" s="2" t="inlineStr">
        <is>
          <t>하루 뽑기</t>
        </is>
      </c>
      <c r="B6" t="inlineStr">
        <is>
          <t>일반 3 (모두 짧은 광고, 생애 첫 뽑기만 무료) + 확률업 1 (긴 광고)</t>
        </is>
      </c>
    </row>
    <row r="7">
      <c r="A7" s="2" t="inlineStr">
        <is>
          <t>1인 최대 토스 지급(원)</t>
        </is>
      </c>
      <c r="B7">
        <f>'보상·토스 지급'!D10</f>
        <v/>
      </c>
    </row>
    <row r="8">
      <c r="A8" s="2" t="inlineStr">
        <is>
          <t>코지 Lv.5 / Lv.8</t>
        </is>
      </c>
      <c r="B8" t="inlineStr">
        <is>
          <t>200 / 280 코지 (활성 유저 12일 / 28일차)</t>
        </is>
      </c>
    </row>
    <row r="9">
      <c r="A9" s="2" t="inlineStr">
        <is>
          <t>고양이 카페</t>
        </is>
      </c>
      <c r="B9" t="inlineStr">
        <is>
          <t>1,500 포인트 + 코지 Lv.5</t>
        </is>
      </c>
    </row>
    <row r="10">
      <c r="A10" s="2" t="inlineStr">
        <is>
          <t>벚꽃 온실</t>
        </is>
      </c>
      <c r="B10" t="inlineStr">
        <is>
          <t>3,000 포인트 + 코지 Lv.8</t>
        </is>
      </c>
    </row>
    <row r="11">
      <c r="A11" s="2" t="inlineStr">
        <is>
          <t>가격이 매겨진 아이템 수</t>
        </is>
      </c>
      <c r="B11">
        <f>COUNTA('아이템 가격'!A4:A147)</f>
        <v/>
      </c>
    </row>
    <row r="12">
      <c r="A12" s="2" t="inlineStr">
        <is>
          <t>광고 eCPM</t>
        </is>
      </c>
      <c r="B12" t="inlineStr">
        <is>
          <t>'보상·토스 지급' 시트 노란 칸에 앱인토스 대시보드 값 입력</t>
        </is>
      </c>
    </row>
    <row r="13">
      <c r="A13" s="2" t="inlineStr">
        <is>
          <t>손익분기 평균 eCPM(원)</t>
        </is>
      </c>
      <c r="B13">
        <f>'보상·토스 지급'!B23</f>
        <v/>
      </c>
    </row>
    <row r="14">
      <c r="A14" s="2" t="inlineStr">
        <is>
          <t>서버 설정 소스</t>
        </is>
      </c>
      <c r="B14" t="inlineStr">
        <is>
          <t>economy.json · prices.json · starter.json · tutorial.json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8" customWidth="1" min="5" max="5"/>
    <col width="22" customWidth="1" min="6" max="6"/>
  </cols>
  <sheetData>
    <row r="1">
      <c r="A1" s="3" t="inlineStr">
        <is>
          <t>포인트(발바닥) 경제 — 노란 칸은 입력값</t>
        </is>
      </c>
    </row>
    <row r="3">
      <c r="A3" t="inlineStr">
        <is>
          <t>광고 1회 포인트</t>
        </is>
      </c>
      <c r="B3" s="4" t="n">
        <v>10</v>
      </c>
    </row>
    <row r="4">
      <c r="A4" t="inlineStr">
        <is>
          <t>하루 광고 시청 수 (최대 10)</t>
        </is>
      </c>
      <c r="B4" s="4" t="n">
        <v>8</v>
      </c>
    </row>
    <row r="5">
      <c r="A5" t="inlineStr">
        <is>
          <t>하루 뽑기 수 (일반3+확률업1)</t>
        </is>
      </c>
      <c r="B5" s="4" t="n">
        <v>4</v>
      </c>
    </row>
    <row r="6">
      <c r="A6" t="inlineStr">
        <is>
          <t>새 카드 비율 (초반 0.8 → 한 달 후 0.3)</t>
        </is>
      </c>
      <c r="B6" s="4" t="n">
        <v>0.6</v>
      </c>
    </row>
    <row r="7">
      <c r="A7" t="inlineStr">
        <is>
          <t>새 카드 1장 포인트</t>
        </is>
      </c>
      <c r="B7" s="4" t="n">
        <v>20</v>
      </c>
    </row>
    <row r="8">
      <c r="A8" t="inlineStr">
        <is>
          <t>중복 1장 평균 포인트</t>
        </is>
      </c>
      <c r="B8" s="4" t="n">
        <v>20</v>
      </c>
    </row>
    <row r="9">
      <c r="A9" t="inlineStr">
        <is>
          <t>주말 2배 적용 (1=예)</t>
        </is>
      </c>
      <c r="B9" s="4" t="n">
        <v>0</v>
      </c>
    </row>
    <row r="11">
      <c r="A11" s="2" t="inlineStr">
        <is>
          <t>하루 포인트 수입 (평일)</t>
        </is>
      </c>
      <c r="B11">
        <f>B3*B4*IF(B9=1,2,1)+B5*(B6*B7+(1-B6)*B8)</f>
        <v/>
      </c>
      <c r="C11" t="inlineStr">
        <is>
          <t>← 다른 시트의 "며칠 모으면" 계산에 사용</t>
        </is>
      </c>
    </row>
    <row r="12">
      <c r="A12" t="inlineStr">
        <is>
          <t>주간 평균 (주말 2배 반영)</t>
        </is>
      </c>
      <c r="B12">
        <f>(5*(B3*B4+B5*(B6*B7+(1-B6)*B8))+2*(B3*B4*2+B5*(B6*B7+(1-B6)*B8)))/7</f>
        <v/>
      </c>
    </row>
    <row r="14">
      <c r="A14" s="5" t="inlineStr">
        <is>
          <t>중복 전환</t>
        </is>
      </c>
      <c r="B14" s="5" t="inlineStr">
        <is>
          <t>포인트</t>
        </is>
      </c>
    </row>
    <row r="15">
      <c r="A15" t="inlineStr">
        <is>
          <t>일반 (1–2★)</t>
        </is>
      </c>
      <c r="B15" t="n">
        <v>10</v>
      </c>
    </row>
    <row r="16">
      <c r="A16" t="inlineStr">
        <is>
          <t>레어 (3–5★)</t>
        </is>
      </c>
      <c r="B16" t="n">
        <v>30</v>
      </c>
    </row>
    <row r="17">
      <c r="A17" t="inlineStr">
        <is>
          <t>스페셜</t>
        </is>
      </c>
      <c r="B17" t="n">
        <v>60</v>
      </c>
    </row>
    <row r="18">
      <c r="A18" t="inlineStr">
        <is>
          <t>캐릭터</t>
        </is>
      </c>
      <c r="B18" t="n">
        <v>60</v>
      </c>
    </row>
    <row r="19">
      <c r="A19" t="inlineStr">
        <is>
          <t>레전드</t>
        </is>
      </c>
      <c r="B19" t="n">
        <v>150</v>
      </c>
    </row>
    <row r="21">
      <c r="A21" s="5" t="inlineStr">
        <is>
          <t>등급 (제안 확률)</t>
        </is>
      </c>
      <c r="B21" s="5" t="inlineStr">
        <is>
          <t>일반 뽑기</t>
        </is>
      </c>
      <c r="C21" s="5" t="inlineStr">
        <is>
          <t>확률업 뽑기</t>
        </is>
      </c>
      <c r="D21" s="5" t="inlineStr">
        <is>
          <t>중복 포인트</t>
        </is>
      </c>
      <c r="E21" s="5" t="inlineStr">
        <is>
          <t>일반 뽑기 중복 기대값</t>
        </is>
      </c>
    </row>
    <row r="22">
      <c r="A22" t="inlineStr">
        <is>
          <t>품종 1★</t>
        </is>
      </c>
      <c r="B22" s="6" t="n">
        <v>0.32</v>
      </c>
      <c r="C22" s="6" t="n">
        <v>0.15</v>
      </c>
      <c r="D22" t="n">
        <v>10</v>
      </c>
      <c r="E22">
        <f>B22*D22</f>
        <v/>
      </c>
    </row>
    <row r="23">
      <c r="A23" t="inlineStr">
        <is>
          <t>품종 2★</t>
        </is>
      </c>
      <c r="B23" s="6" t="n">
        <v>0.26</v>
      </c>
      <c r="C23" s="6" t="n">
        <v>0.2</v>
      </c>
      <c r="D23" t="n">
        <v>10</v>
      </c>
      <c r="E23">
        <f>B23*D23</f>
        <v/>
      </c>
    </row>
    <row r="24">
      <c r="A24" t="inlineStr">
        <is>
          <t>품종 3★</t>
        </is>
      </c>
      <c r="B24" s="6" t="n">
        <v>0.17</v>
      </c>
      <c r="C24" s="6" t="n">
        <v>0.22</v>
      </c>
      <c r="D24" t="n">
        <v>30</v>
      </c>
      <c r="E24">
        <f>B24*D24</f>
        <v/>
      </c>
    </row>
    <row r="25">
      <c r="A25" t="inlineStr">
        <is>
          <t>품종 4★</t>
        </is>
      </c>
      <c r="B25" s="6" t="n">
        <v>0.1</v>
      </c>
      <c r="C25" s="6" t="n">
        <v>0.16</v>
      </c>
      <c r="D25" t="n">
        <v>30</v>
      </c>
      <c r="E25">
        <f>B25*D25</f>
        <v/>
      </c>
    </row>
    <row r="26">
      <c r="A26" t="inlineStr">
        <is>
          <t>품종 5★</t>
        </is>
      </c>
      <c r="B26" s="6" t="n">
        <v>0.05</v>
      </c>
      <c r="C26" s="6" t="n">
        <v>0.1</v>
      </c>
      <c r="D26" t="n">
        <v>30</v>
      </c>
      <c r="E26">
        <f>B26*D26</f>
        <v/>
      </c>
    </row>
    <row r="27">
      <c r="A27" t="inlineStr">
        <is>
          <t>스페셜</t>
        </is>
      </c>
      <c r="B27" s="6" t="n">
        <v>0.06</v>
      </c>
      <c r="C27" s="6" t="n">
        <v>0.1</v>
      </c>
      <c r="D27" t="n">
        <v>60</v>
      </c>
      <c r="E27">
        <f>B27*D27</f>
        <v/>
      </c>
    </row>
    <row r="28">
      <c r="A28" t="inlineStr">
        <is>
          <t>캐릭터</t>
        </is>
      </c>
      <c r="B28" s="6" t="n">
        <v>0.025</v>
      </c>
      <c r="C28" s="6" t="n">
        <v>0.045</v>
      </c>
      <c r="D28" t="n">
        <v>60</v>
      </c>
      <c r="E28">
        <f>B28*D28</f>
        <v/>
      </c>
    </row>
    <row r="29">
      <c r="A29" t="inlineStr">
        <is>
          <t>레전드</t>
        </is>
      </c>
      <c r="B29" s="6" t="n">
        <v>0.015</v>
      </c>
      <c r="C29" s="6" t="n">
        <v>0.025</v>
      </c>
      <c r="D29" t="n">
        <v>150</v>
      </c>
      <c r="E29">
        <f>B29*D29</f>
        <v/>
      </c>
    </row>
    <row r="30">
      <c r="A30" s="2" t="inlineStr">
        <is>
          <t>합계 / 중복 1장 기대 포인트</t>
        </is>
      </c>
      <c r="B30" s="6">
        <f>SUM(B22:B29)</f>
        <v/>
      </c>
      <c r="C30" s="6">
        <f>SUM(C22:C29)</f>
        <v/>
      </c>
      <c r="E30">
        <f>SUM(E22:E29)</f>
        <v/>
      </c>
    </row>
    <row r="31">
      <c r="A31" t="inlineStr">
        <is>
          <t>확률은 제안값이에요 (economy.json draws.rates_proposal). 확정 시 이 표와 서버 설정을 함께 바꿔요.</t>
        </is>
      </c>
    </row>
    <row r="33">
      <c r="A33" s="2" t="inlineStr">
        <is>
          <t>활성 유저 시뮬레이션 중앙값 (광고 8회·뽑기 4회/일, 하루 최대 3개 구매, 300명)</t>
        </is>
      </c>
    </row>
    <row r="34">
      <c r="A34" s="5" t="inlineStr">
        <is>
          <t>일차</t>
        </is>
      </c>
      <c r="B34" s="5" t="inlineStr">
        <is>
          <t>보유 포인트</t>
        </is>
      </c>
      <c r="C34" s="5" t="inlineStr">
        <is>
          <t>코지 포인트</t>
        </is>
      </c>
      <c r="D34" s="5" t="inlineStr">
        <is>
          <t>도감 카드 수</t>
        </is>
      </c>
      <c r="E34" s="5" t="inlineStr">
        <is>
          <t>누적 토스 지급(원)</t>
        </is>
      </c>
      <c r="F34" s="5" t="inlineStr">
        <is>
          <t>보유 방 수</t>
        </is>
      </c>
    </row>
    <row r="35">
      <c r="A35" t="n">
        <v>1</v>
      </c>
      <c r="B35" t="n">
        <v>30</v>
      </c>
      <c r="C35" t="n">
        <v>98</v>
      </c>
      <c r="D35" t="n">
        <v>4</v>
      </c>
      <c r="E35" t="n">
        <v>4</v>
      </c>
      <c r="F35" t="n">
        <v>1</v>
      </c>
    </row>
    <row r="36">
      <c r="A36" t="n">
        <v>2</v>
      </c>
      <c r="B36" t="n">
        <v>30</v>
      </c>
      <c r="C36" t="n">
        <v>108</v>
      </c>
      <c r="D36" t="n">
        <v>8</v>
      </c>
      <c r="E36" t="n">
        <v>8</v>
      </c>
      <c r="F36" t="n">
        <v>1</v>
      </c>
    </row>
    <row r="37">
      <c r="A37" t="n">
        <v>3</v>
      </c>
      <c r="B37" t="n">
        <v>40</v>
      </c>
      <c r="C37" t="n">
        <v>118</v>
      </c>
      <c r="D37" t="n">
        <v>11</v>
      </c>
      <c r="E37" t="n">
        <v>11</v>
      </c>
      <c r="F37" t="n">
        <v>1</v>
      </c>
    </row>
    <row r="38">
      <c r="A38" t="n">
        <v>4</v>
      </c>
      <c r="B38" t="n">
        <v>40</v>
      </c>
      <c r="C38" t="n">
        <v>128</v>
      </c>
      <c r="D38" t="n">
        <v>15</v>
      </c>
      <c r="E38" t="n">
        <v>15</v>
      </c>
      <c r="F38" t="n">
        <v>1</v>
      </c>
    </row>
    <row r="39">
      <c r="A39" t="n">
        <v>5</v>
      </c>
      <c r="B39" t="n">
        <v>35</v>
      </c>
      <c r="C39" t="n">
        <v>138</v>
      </c>
      <c r="D39" t="n">
        <v>18</v>
      </c>
      <c r="E39" t="n">
        <v>18</v>
      </c>
      <c r="F39" t="n">
        <v>1</v>
      </c>
    </row>
    <row r="40">
      <c r="A40" t="n">
        <v>6</v>
      </c>
      <c r="B40" t="n">
        <v>30</v>
      </c>
      <c r="C40" t="n">
        <v>146</v>
      </c>
      <c r="D40" t="n">
        <v>21</v>
      </c>
      <c r="E40" t="n">
        <v>21</v>
      </c>
      <c r="F40" t="n">
        <v>1</v>
      </c>
    </row>
    <row r="41">
      <c r="A41" t="n">
        <v>7</v>
      </c>
      <c r="B41" t="n">
        <v>40</v>
      </c>
      <c r="C41" t="n">
        <v>177</v>
      </c>
      <c r="D41" t="n">
        <v>24</v>
      </c>
      <c r="E41" t="n">
        <v>24</v>
      </c>
      <c r="F41" t="n">
        <v>1</v>
      </c>
    </row>
    <row r="42">
      <c r="A42" t="n">
        <v>8</v>
      </c>
      <c r="B42" t="n">
        <v>30</v>
      </c>
      <c r="C42" t="n">
        <v>183</v>
      </c>
      <c r="D42" t="n">
        <v>27</v>
      </c>
      <c r="E42" t="n">
        <v>27</v>
      </c>
      <c r="F42" t="n">
        <v>1</v>
      </c>
    </row>
    <row r="43">
      <c r="A43" t="n">
        <v>9</v>
      </c>
      <c r="B43" t="n">
        <v>30</v>
      </c>
      <c r="C43" t="n">
        <v>189</v>
      </c>
      <c r="D43" t="n">
        <v>30</v>
      </c>
      <c r="E43" t="n">
        <v>30</v>
      </c>
      <c r="F43" t="n">
        <v>1</v>
      </c>
    </row>
    <row r="44">
      <c r="A44" t="n">
        <v>10</v>
      </c>
      <c r="B44" t="n">
        <v>30</v>
      </c>
      <c r="C44" t="n">
        <v>195</v>
      </c>
      <c r="D44" t="n">
        <v>33</v>
      </c>
      <c r="E44" t="n">
        <v>33</v>
      </c>
      <c r="F44" t="n">
        <v>1</v>
      </c>
    </row>
    <row r="45">
      <c r="A45" t="n">
        <v>11</v>
      </c>
      <c r="B45" t="n">
        <v>40</v>
      </c>
      <c r="C45" t="n">
        <v>199</v>
      </c>
      <c r="D45" t="n">
        <v>35</v>
      </c>
      <c r="E45" t="n">
        <v>35</v>
      </c>
      <c r="F45" t="n">
        <v>1</v>
      </c>
    </row>
    <row r="46">
      <c r="A46" t="n">
        <v>12</v>
      </c>
      <c r="B46" t="n">
        <v>105</v>
      </c>
      <c r="C46" t="n">
        <v>201</v>
      </c>
      <c r="D46" t="n">
        <v>37</v>
      </c>
      <c r="E46" t="n">
        <v>37</v>
      </c>
      <c r="F46" t="n">
        <v>1</v>
      </c>
    </row>
    <row r="47">
      <c r="A47" t="n">
        <v>13</v>
      </c>
      <c r="B47" t="n">
        <v>280</v>
      </c>
      <c r="C47" t="n">
        <v>203</v>
      </c>
      <c r="D47" t="n">
        <v>40</v>
      </c>
      <c r="E47" t="n">
        <v>40</v>
      </c>
      <c r="F47" t="n">
        <v>1</v>
      </c>
    </row>
    <row r="48">
      <c r="A48" t="n">
        <v>14</v>
      </c>
      <c r="B48" t="n">
        <v>450</v>
      </c>
      <c r="C48" t="n">
        <v>203</v>
      </c>
      <c r="D48" t="n">
        <v>42</v>
      </c>
      <c r="E48" t="n">
        <v>42</v>
      </c>
      <c r="F48" t="n">
        <v>1</v>
      </c>
    </row>
    <row r="49">
      <c r="A49" t="n">
        <v>15</v>
      </c>
      <c r="B49" t="n">
        <v>620</v>
      </c>
      <c r="C49" t="n">
        <v>203</v>
      </c>
      <c r="D49" t="n">
        <v>44</v>
      </c>
      <c r="E49" t="n">
        <v>45</v>
      </c>
      <c r="F49" t="n">
        <v>1</v>
      </c>
    </row>
    <row r="50">
      <c r="A50" t="n">
        <v>16</v>
      </c>
      <c r="B50" t="n">
        <v>790</v>
      </c>
      <c r="C50" t="n">
        <v>203</v>
      </c>
      <c r="D50" t="n">
        <v>46</v>
      </c>
      <c r="E50" t="n">
        <v>47</v>
      </c>
      <c r="F50" t="n">
        <v>1</v>
      </c>
    </row>
    <row r="51">
      <c r="A51" t="n">
        <v>17</v>
      </c>
      <c r="B51" t="n">
        <v>960</v>
      </c>
      <c r="C51" t="n">
        <v>203</v>
      </c>
      <c r="D51" t="n">
        <v>48</v>
      </c>
      <c r="E51" t="n">
        <v>49</v>
      </c>
      <c r="F51" t="n">
        <v>1</v>
      </c>
    </row>
    <row r="52">
      <c r="A52" t="n">
        <v>18</v>
      </c>
      <c r="B52" t="n">
        <v>1110</v>
      </c>
      <c r="C52" t="n">
        <v>203</v>
      </c>
      <c r="D52" t="n">
        <v>50</v>
      </c>
      <c r="E52" t="n">
        <v>51</v>
      </c>
      <c r="F52" t="n">
        <v>1</v>
      </c>
    </row>
    <row r="53">
      <c r="A53" t="n">
        <v>19</v>
      </c>
      <c r="B53" t="n">
        <v>1185</v>
      </c>
      <c r="C53" t="n">
        <v>203</v>
      </c>
      <c r="D53" t="n">
        <v>52</v>
      </c>
      <c r="E53" t="n">
        <v>53</v>
      </c>
      <c r="F53" t="n">
        <v>1</v>
      </c>
    </row>
    <row r="54">
      <c r="A54" t="n">
        <v>20</v>
      </c>
      <c r="B54" t="n">
        <v>1150</v>
      </c>
      <c r="C54" t="n">
        <v>205</v>
      </c>
      <c r="D54" t="n">
        <v>54</v>
      </c>
      <c r="E54" t="n">
        <v>55</v>
      </c>
      <c r="F54" t="n">
        <v>1</v>
      </c>
    </row>
    <row r="55">
      <c r="A55" t="n">
        <v>21</v>
      </c>
      <c r="B55" t="n">
        <v>30</v>
      </c>
      <c r="C55" t="n">
        <v>237</v>
      </c>
      <c r="D55" t="n">
        <v>55</v>
      </c>
      <c r="E55" t="n">
        <v>58</v>
      </c>
      <c r="F55" t="n">
        <v>2</v>
      </c>
    </row>
    <row r="56">
      <c r="A56" t="n">
        <v>22</v>
      </c>
      <c r="B56" t="n">
        <v>30</v>
      </c>
      <c r="C56" t="n">
        <v>244</v>
      </c>
      <c r="D56" t="n">
        <v>57</v>
      </c>
      <c r="E56" t="n">
        <v>62</v>
      </c>
      <c r="F56" t="n">
        <v>2</v>
      </c>
    </row>
    <row r="57">
      <c r="A57" t="n">
        <v>23</v>
      </c>
      <c r="B57" t="n">
        <v>20</v>
      </c>
      <c r="C57" t="n">
        <v>251</v>
      </c>
      <c r="D57" t="n">
        <v>58</v>
      </c>
      <c r="E57" t="n">
        <v>66</v>
      </c>
      <c r="F57" t="n">
        <v>2</v>
      </c>
    </row>
    <row r="58">
      <c r="A58" t="n">
        <v>24</v>
      </c>
      <c r="B58" t="n">
        <v>20</v>
      </c>
      <c r="C58" t="n">
        <v>259</v>
      </c>
      <c r="D58" t="n">
        <v>60</v>
      </c>
      <c r="E58" t="n">
        <v>69</v>
      </c>
      <c r="F58" t="n">
        <v>2</v>
      </c>
    </row>
    <row r="59">
      <c r="A59" t="n">
        <v>25</v>
      </c>
      <c r="B59" t="n">
        <v>30</v>
      </c>
      <c r="C59" t="n">
        <v>265</v>
      </c>
      <c r="D59" t="n">
        <v>61</v>
      </c>
      <c r="E59" t="n">
        <v>71</v>
      </c>
      <c r="F59" t="n">
        <v>2</v>
      </c>
    </row>
    <row r="60">
      <c r="A60" t="n">
        <v>26</v>
      </c>
      <c r="B60" t="n">
        <v>30</v>
      </c>
      <c r="C60" t="n">
        <v>273</v>
      </c>
      <c r="D60" t="n">
        <v>62.5</v>
      </c>
      <c r="E60" t="n">
        <v>73</v>
      </c>
      <c r="F60" t="n">
        <v>2</v>
      </c>
    </row>
    <row r="61">
      <c r="A61" t="n">
        <v>27</v>
      </c>
      <c r="B61" t="n">
        <v>30</v>
      </c>
      <c r="C61" t="n">
        <v>279</v>
      </c>
      <c r="D61" t="n">
        <v>64</v>
      </c>
      <c r="E61" t="n">
        <v>76</v>
      </c>
      <c r="F61" t="n">
        <v>2</v>
      </c>
    </row>
    <row r="62">
      <c r="A62" t="n">
        <v>28</v>
      </c>
      <c r="B62" t="n">
        <v>70</v>
      </c>
      <c r="C62" t="n">
        <v>281</v>
      </c>
      <c r="D62" t="n">
        <v>65</v>
      </c>
      <c r="E62" t="n">
        <v>77</v>
      </c>
      <c r="F62" t="n">
        <v>2</v>
      </c>
    </row>
    <row r="63">
      <c r="A63" t="n">
        <v>29</v>
      </c>
      <c r="B63" t="n">
        <v>280</v>
      </c>
      <c r="C63" t="n">
        <v>283</v>
      </c>
      <c r="D63" t="n">
        <v>66</v>
      </c>
      <c r="E63" t="n">
        <v>79</v>
      </c>
      <c r="F63" t="n">
        <v>2</v>
      </c>
    </row>
    <row r="64">
      <c r="A64" t="n">
        <v>30</v>
      </c>
      <c r="B64" t="n">
        <v>460</v>
      </c>
      <c r="C64" t="n">
        <v>283</v>
      </c>
      <c r="D64" t="n">
        <v>67</v>
      </c>
      <c r="E64" t="n">
        <v>83</v>
      </c>
      <c r="F64" t="n">
        <v>2</v>
      </c>
    </row>
    <row r="65">
      <c r="A65" t="n">
        <v>31</v>
      </c>
      <c r="B65" t="n">
        <v>655</v>
      </c>
      <c r="C65" t="n">
        <v>283</v>
      </c>
      <c r="D65" t="n">
        <v>68</v>
      </c>
      <c r="E65" t="n">
        <v>86</v>
      </c>
      <c r="F65" t="n">
        <v>2</v>
      </c>
    </row>
    <row r="66">
      <c r="A66" t="n">
        <v>32</v>
      </c>
      <c r="B66" t="n">
        <v>840</v>
      </c>
      <c r="C66" t="n">
        <v>283</v>
      </c>
      <c r="D66" t="n">
        <v>69</v>
      </c>
      <c r="E66" t="n">
        <v>87</v>
      </c>
      <c r="F66" t="n">
        <v>2</v>
      </c>
    </row>
    <row r="67">
      <c r="A67" t="n">
        <v>33</v>
      </c>
      <c r="B67" t="n">
        <v>1035</v>
      </c>
      <c r="C67" t="n">
        <v>283</v>
      </c>
      <c r="D67" t="n">
        <v>70</v>
      </c>
      <c r="E67" t="n">
        <v>90</v>
      </c>
      <c r="F67" t="n">
        <v>2</v>
      </c>
    </row>
    <row r="68">
      <c r="A68" t="n">
        <v>34</v>
      </c>
      <c r="B68" t="n">
        <v>1250</v>
      </c>
      <c r="C68" t="n">
        <v>283</v>
      </c>
      <c r="D68" t="n">
        <v>72</v>
      </c>
      <c r="E68" t="n">
        <v>93</v>
      </c>
      <c r="F68" t="n">
        <v>2</v>
      </c>
    </row>
    <row r="69">
      <c r="A69" t="n">
        <v>35</v>
      </c>
      <c r="B69" t="n">
        <v>1455</v>
      </c>
      <c r="C69" t="n">
        <v>283</v>
      </c>
      <c r="D69" t="n">
        <v>73</v>
      </c>
      <c r="E69" t="n">
        <v>95</v>
      </c>
      <c r="F69" t="n">
        <v>2</v>
      </c>
    </row>
    <row r="70">
      <c r="A70" t="n">
        <v>36</v>
      </c>
      <c r="B70" t="n">
        <v>1655</v>
      </c>
      <c r="C70" t="n">
        <v>283</v>
      </c>
      <c r="D70" t="n">
        <v>74</v>
      </c>
      <c r="E70" t="n">
        <v>99</v>
      </c>
      <c r="F70" t="n">
        <v>2</v>
      </c>
    </row>
    <row r="71">
      <c r="A71" t="n">
        <v>37</v>
      </c>
      <c r="B71" t="n">
        <v>1870</v>
      </c>
      <c r="C71" t="n">
        <v>283</v>
      </c>
      <c r="D71" t="n">
        <v>75</v>
      </c>
      <c r="E71" t="n">
        <v>103</v>
      </c>
      <c r="F71" t="n">
        <v>2</v>
      </c>
    </row>
    <row r="72">
      <c r="A72" t="n">
        <v>38</v>
      </c>
      <c r="B72" t="n">
        <v>2040</v>
      </c>
      <c r="C72" t="n">
        <v>283</v>
      </c>
      <c r="D72" t="n">
        <v>75.5</v>
      </c>
      <c r="E72" t="n">
        <v>105</v>
      </c>
      <c r="F72" t="n">
        <v>2</v>
      </c>
    </row>
    <row r="73">
      <c r="A73" t="n">
        <v>39</v>
      </c>
      <c r="B73" t="n">
        <v>2230</v>
      </c>
      <c r="C73" t="n">
        <v>283</v>
      </c>
      <c r="D73" t="n">
        <v>76</v>
      </c>
      <c r="E73" t="n">
        <v>107</v>
      </c>
      <c r="F73" t="n">
        <v>2</v>
      </c>
    </row>
    <row r="74">
      <c r="A74" t="n">
        <v>40</v>
      </c>
      <c r="B74" t="n">
        <v>2360</v>
      </c>
      <c r="C74" t="n">
        <v>285</v>
      </c>
      <c r="D74" t="n">
        <v>77</v>
      </c>
      <c r="E74" t="n">
        <v>110</v>
      </c>
      <c r="F74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0" customWidth="1" min="4" max="4"/>
    <col width="16" customWidth="1" min="5" max="5"/>
    <col width="8" customWidth="1" min="6" max="6"/>
    <col width="7" customWidth="1" min="7" max="7"/>
    <col width="12" customWidth="1" min="8" max="8"/>
    <col width="40" customWidth="1" min="9" max="9"/>
    <col width="20" customWidth="1" min="10" max="10"/>
  </cols>
  <sheetData>
    <row r="1">
      <c r="A1" t="inlineStr">
        <is>
          <t>하루 수입(포인트)</t>
        </is>
      </c>
      <c r="B1" s="2">
        <f>'포인트 경제'!B12</f>
        <v/>
      </c>
    </row>
    <row r="3">
      <c r="A3" s="5" t="inlineStr">
        <is>
          <t>id</t>
        </is>
      </c>
      <c r="B3" s="5" t="inlineStr">
        <is>
          <t>이름</t>
        </is>
      </c>
      <c r="C3" s="5" t="inlineStr">
        <is>
          <t>방</t>
        </is>
      </c>
      <c r="D3" s="5" t="inlineStr">
        <is>
          <t>분류</t>
        </is>
      </c>
      <c r="E3" s="5" t="inlineStr">
        <is>
          <t>등급</t>
        </is>
      </c>
      <c r="F3" s="5" t="inlineStr">
        <is>
          <t>가격</t>
        </is>
      </c>
      <c r="G3" s="5" t="inlineStr">
        <is>
          <t>코지</t>
        </is>
      </c>
      <c r="H3" s="5" t="inlineStr">
        <is>
          <t>며칠 모으면</t>
        </is>
      </c>
      <c r="I3" s="5" t="inlineStr">
        <is>
          <t>플래그</t>
        </is>
      </c>
      <c r="J3" s="5" t="inlineStr">
        <is>
          <t>파일</t>
        </is>
      </c>
    </row>
    <row r="4">
      <c r="A4" t="inlineStr">
        <is>
          <t>cattower</t>
        </is>
      </c>
      <c r="B4" t="inlineStr">
        <is>
          <t>캣타워</t>
        </is>
      </c>
      <c r="C4" t="inlineStr">
        <is>
          <t>moon_bedroom</t>
        </is>
      </c>
      <c r="D4" t="inlineStr">
        <is>
          <t>가구</t>
        </is>
      </c>
      <c r="E4" t="inlineStr">
        <is>
          <t>큰/테마 대표 가구</t>
        </is>
      </c>
      <c r="F4" t="n">
        <v>600</v>
      </c>
      <c r="G4" t="n">
        <v>25</v>
      </c>
      <c r="H4">
        <f>IF(F4=0,"기본 지급",ROUND(F4/$B$1,1))</f>
        <v/>
      </c>
      <c r="I4" t="inlineStr">
        <is>
          <t>attendance</t>
        </is>
      </c>
      <c r="J4" t="inlineStr">
        <is>
          <t>room-assets-v6</t>
        </is>
      </c>
    </row>
    <row r="5">
      <c r="A5" t="inlineStr">
        <is>
          <t>catbed</t>
        </is>
      </c>
      <c r="B5" t="inlineStr">
        <is>
          <t>동글 쿠션 침대</t>
        </is>
      </c>
      <c r="C5" t="inlineStr">
        <is>
          <t>moon_bedroom</t>
        </is>
      </c>
      <c r="D5" t="inlineStr">
        <is>
          <t>가구</t>
        </is>
      </c>
      <c r="E5" t="inlineStr">
        <is>
          <t>일반 가구</t>
        </is>
      </c>
      <c r="F5" t="n">
        <v>300</v>
      </c>
      <c r="G5" t="n">
        <v>10</v>
      </c>
      <c r="H5">
        <f>IF(F5=0,"기본 지급",ROUND(F5/$B$1,1))</f>
        <v/>
      </c>
      <c r="I5" t="inlineStr">
        <is>
          <t>starterPlaced</t>
        </is>
      </c>
      <c r="J5" t="inlineStr">
        <is>
          <t>room-assets-v6</t>
        </is>
      </c>
    </row>
    <row r="6">
      <c r="A6" t="inlineStr">
        <is>
          <t>floorlamp</t>
        </is>
      </c>
      <c r="B6" t="inlineStr">
        <is>
          <t>플로어 램프</t>
        </is>
      </c>
      <c r="C6" t="inlineStr">
        <is>
          <t>moon_bedroom</t>
        </is>
      </c>
      <c r="D6" t="inlineStr">
        <is>
          <t>가구</t>
        </is>
      </c>
      <c r="E6" t="inlineStr">
        <is>
          <t>일반 가구</t>
        </is>
      </c>
      <c r="F6" t="n">
        <v>220</v>
      </c>
      <c r="G6" t="n">
        <v>10</v>
      </c>
      <c r="H6">
        <f>IF(F6=0,"기본 지급",ROUND(F6/$B$1,1))</f>
        <v/>
      </c>
      <c r="I6" t="inlineStr">
        <is>
          <t>starterPlaced</t>
        </is>
      </c>
      <c r="J6" t="inlineStr">
        <is>
          <t>room-assets-v6</t>
        </is>
      </c>
    </row>
    <row r="7">
      <c r="A7" t="inlineStr">
        <is>
          <t>cabinet</t>
        </is>
      </c>
      <c r="B7" t="inlineStr">
        <is>
          <t>발바닥 서랍장</t>
        </is>
      </c>
      <c r="C7" t="inlineStr">
        <is>
          <t>moon_bedroom</t>
        </is>
      </c>
      <c r="D7" t="inlineStr">
        <is>
          <t>가구</t>
        </is>
      </c>
      <c r="E7" t="inlineStr">
        <is>
          <t>일반 가구</t>
        </is>
      </c>
      <c r="F7" t="n">
        <v>260</v>
      </c>
      <c r="G7" t="n">
        <v>10</v>
      </c>
      <c r="H7">
        <f>IF(F7=0,"기본 지급",ROUND(F7/$B$1,1))</f>
        <v/>
      </c>
      <c r="I7" t="inlineStr"/>
      <c r="J7" t="inlineStr">
        <is>
          <t>room-assets-v6</t>
        </is>
      </c>
    </row>
    <row r="8">
      <c r="A8" t="inlineStr">
        <is>
          <t>sofa</t>
        </is>
      </c>
      <c r="B8" t="inlineStr">
        <is>
          <t>핑크 소파</t>
        </is>
      </c>
      <c r="C8" t="inlineStr">
        <is>
          <t>moon_bedroom</t>
        </is>
      </c>
      <c r="D8" t="inlineStr">
        <is>
          <t>가구</t>
        </is>
      </c>
      <c r="E8" t="inlineStr">
        <is>
          <t>큰/테마 대표 가구</t>
        </is>
      </c>
      <c r="F8" t="n">
        <v>650</v>
      </c>
      <c r="G8" t="n">
        <v>25</v>
      </c>
      <c r="H8">
        <f>IF(F8=0,"기본 지급",ROUND(F8/$B$1,1))</f>
        <v/>
      </c>
      <c r="I8" t="inlineStr"/>
      <c r="J8" t="inlineStr">
        <is>
          <t>room-assets-v6</t>
        </is>
      </c>
    </row>
    <row r="9">
      <c r="A9" t="inlineStr">
        <is>
          <t>scratcher</t>
        </is>
      </c>
      <c r="B9" t="inlineStr">
        <is>
          <t>스크래처 언덕</t>
        </is>
      </c>
      <c r="C9" t="inlineStr">
        <is>
          <t>moon_bedroom</t>
        </is>
      </c>
      <c r="D9" t="inlineStr">
        <is>
          <t>가구</t>
        </is>
      </c>
      <c r="E9" t="inlineStr">
        <is>
          <t>일반 가구</t>
        </is>
      </c>
      <c r="F9" t="n">
        <v>220</v>
      </c>
      <c r="G9" t="n">
        <v>10</v>
      </c>
      <c r="H9">
        <f>IF(F9=0,"기본 지급",ROUND(F9/$B$1,1))</f>
        <v/>
      </c>
      <c r="I9" t="inlineStr"/>
      <c r="J9" t="inlineStr">
        <is>
          <t>room-assets-v6</t>
        </is>
      </c>
    </row>
    <row r="10">
      <c r="A10" t="inlineStr">
        <is>
          <t>bookshelf</t>
        </is>
      </c>
      <c r="B10" t="inlineStr">
        <is>
          <t>민트 책장</t>
        </is>
      </c>
      <c r="C10" t="inlineStr">
        <is>
          <t>moon_bedroom</t>
        </is>
      </c>
      <c r="D10" t="inlineStr">
        <is>
          <t>가구</t>
        </is>
      </c>
      <c r="E10" t="inlineStr">
        <is>
          <t>일반 가구</t>
        </is>
      </c>
      <c r="F10" t="n">
        <v>320</v>
      </c>
      <c r="G10" t="n">
        <v>10</v>
      </c>
      <c r="H10">
        <f>IF(F10=0,"기본 지급",ROUND(F10/$B$1,1))</f>
        <v/>
      </c>
      <c r="I10" t="inlineStr"/>
      <c r="J10" t="inlineStr">
        <is>
          <t>room-assets-v6</t>
        </is>
      </c>
    </row>
    <row r="11">
      <c r="A11" t="inlineStr">
        <is>
          <t>tent</t>
        </is>
      </c>
      <c r="B11" t="inlineStr">
        <is>
          <t>냥귀 숨숨집</t>
        </is>
      </c>
      <c r="C11" t="inlineStr">
        <is>
          <t>moon_bedroom</t>
        </is>
      </c>
      <c r="D11" t="inlineStr">
        <is>
          <t>가구</t>
        </is>
      </c>
      <c r="E11" t="inlineStr">
        <is>
          <t>일반 가구</t>
        </is>
      </c>
      <c r="F11" t="n">
        <v>380</v>
      </c>
      <c r="G11" t="n">
        <v>10</v>
      </c>
      <c r="H11">
        <f>IF(F11=0,"기본 지급",ROUND(F11/$B$1,1))</f>
        <v/>
      </c>
      <c r="I11" t="inlineStr"/>
      <c r="J11" t="inlineStr">
        <is>
          <t>room-assets-v6</t>
        </is>
      </c>
    </row>
    <row r="12">
      <c r="A12" t="inlineStr">
        <is>
          <t>teatable</t>
        </is>
      </c>
      <c r="B12" t="inlineStr">
        <is>
          <t>꽃병 티 테이블</t>
        </is>
      </c>
      <c r="C12" t="inlineStr">
        <is>
          <t>moon_bedroom</t>
        </is>
      </c>
      <c r="D12" t="inlineStr">
        <is>
          <t>가구</t>
        </is>
      </c>
      <c r="E12" t="inlineStr">
        <is>
          <t>일반 가구</t>
        </is>
      </c>
      <c r="F12" t="n">
        <v>240</v>
      </c>
      <c r="G12" t="n">
        <v>10</v>
      </c>
      <c r="H12">
        <f>IF(F12=0,"기본 지급",ROUND(F12/$B$1,1))</f>
        <v/>
      </c>
      <c r="I12" t="inlineStr"/>
      <c r="J12" t="inlineStr">
        <is>
          <t>room-assets-v6</t>
        </is>
      </c>
    </row>
    <row r="13">
      <c r="A13" t="inlineStr">
        <is>
          <t>desk</t>
        </is>
      </c>
      <c r="B13" t="inlineStr">
        <is>
          <t>노트북 책상</t>
        </is>
      </c>
      <c r="C13" t="inlineStr">
        <is>
          <t>moon_bedroom</t>
        </is>
      </c>
      <c r="D13" t="inlineStr">
        <is>
          <t>가구</t>
        </is>
      </c>
      <c r="E13" t="inlineStr">
        <is>
          <t>일반 가구</t>
        </is>
      </c>
      <c r="F13" t="n">
        <v>300</v>
      </c>
      <c r="G13" t="n">
        <v>10</v>
      </c>
      <c r="H13">
        <f>IF(F13=0,"기본 지급",ROUND(F13/$B$1,1))</f>
        <v/>
      </c>
      <c r="I13" t="inlineStr"/>
      <c r="J13" t="inlineStr">
        <is>
          <t>room-assets-v6</t>
        </is>
      </c>
    </row>
    <row r="14">
      <c r="A14" t="inlineStr">
        <is>
          <t>beanbag</t>
        </is>
      </c>
      <c r="B14" t="inlineStr">
        <is>
          <t>빈백</t>
        </is>
      </c>
      <c r="C14" t="inlineStr">
        <is>
          <t>moon_bedroom</t>
        </is>
      </c>
      <c r="D14" t="inlineStr">
        <is>
          <t>가구</t>
        </is>
      </c>
      <c r="E14" t="inlineStr">
        <is>
          <t>일반 가구</t>
        </is>
      </c>
      <c r="F14" t="n">
        <v>260</v>
      </c>
      <c r="G14" t="n">
        <v>10</v>
      </c>
      <c r="H14">
        <f>IF(F14=0,"기본 지급",ROUND(F14/$B$1,1))</f>
        <v/>
      </c>
      <c r="I14" t="inlineStr"/>
      <c r="J14" t="inlineStr">
        <is>
          <t>room-assets-v6</t>
        </is>
      </c>
    </row>
    <row r="15">
      <c r="A15" t="inlineStr">
        <is>
          <t>radioclock</t>
        </is>
      </c>
      <c r="B15" t="inlineStr">
        <is>
          <t>냥이 라디오 시계</t>
        </is>
      </c>
      <c r="C15" t="inlineStr">
        <is>
          <t>moon_bedroom</t>
        </is>
      </c>
      <c r="D15" t="inlineStr">
        <is>
          <t>가구</t>
        </is>
      </c>
      <c r="E15" t="inlineStr">
        <is>
          <t>일반 가구</t>
        </is>
      </c>
      <c r="F15" t="n">
        <v>280</v>
      </c>
      <c r="G15" t="n">
        <v>10</v>
      </c>
      <c r="H15">
        <f>IF(F15=0,"기본 지급",ROUND(F15/$B$1,1))</f>
        <v/>
      </c>
      <c r="I15" t="inlineStr"/>
      <c r="J15" t="inlineStr">
        <is>
          <t>room-assets-v6</t>
        </is>
      </c>
    </row>
    <row r="16">
      <c r="A16" t="inlineStr">
        <is>
          <t>bed</t>
        </is>
      </c>
      <c r="B16" t="inlineStr">
        <is>
          <t>퀼트 침대</t>
        </is>
      </c>
      <c r="C16" t="inlineStr">
        <is>
          <t>moon_bedroom</t>
        </is>
      </c>
      <c r="D16" t="inlineStr">
        <is>
          <t>가구</t>
        </is>
      </c>
      <c r="E16" t="inlineStr">
        <is>
          <t>큰/테마 대표 가구</t>
        </is>
      </c>
      <c r="F16" t="n">
        <v>700</v>
      </c>
      <c r="G16" t="n">
        <v>25</v>
      </c>
      <c r="H16">
        <f>IF(F16=0,"기본 지급",ROUND(F16/$B$1,1))</f>
        <v/>
      </c>
      <c r="I16" t="inlineStr"/>
      <c r="J16" t="inlineStr">
        <is>
          <t>room-assets-v6</t>
        </is>
      </c>
    </row>
    <row r="17">
      <c r="A17" t="inlineStr">
        <is>
          <t>fridge</t>
        </is>
      </c>
      <c r="B17" t="inlineStr">
        <is>
          <t>민트 냉장고</t>
        </is>
      </c>
      <c r="C17" t="inlineStr">
        <is>
          <t>moon_bedroom</t>
        </is>
      </c>
      <c r="D17" t="inlineStr">
        <is>
          <t>가구</t>
        </is>
      </c>
      <c r="E17" t="inlineStr">
        <is>
          <t>일반 가구</t>
        </is>
      </c>
      <c r="F17" t="n">
        <v>340</v>
      </c>
      <c r="G17" t="n">
        <v>10</v>
      </c>
      <c r="H17">
        <f>IF(F17=0,"기본 지급",ROUND(F17/$B$1,1))</f>
        <v/>
      </c>
      <c r="I17" t="inlineStr"/>
      <c r="J17" t="inlineStr">
        <is>
          <t>room-assets-v6</t>
        </is>
      </c>
    </row>
    <row r="18">
      <c r="A18" t="inlineStr">
        <is>
          <t>feeder</t>
        </is>
      </c>
      <c r="B18" t="inlineStr">
        <is>
          <t>물고기 급식대</t>
        </is>
      </c>
      <c r="C18" t="inlineStr">
        <is>
          <t>moon_bedroom</t>
        </is>
      </c>
      <c r="D18" t="inlineStr">
        <is>
          <t>가구</t>
        </is>
      </c>
      <c r="E18" t="inlineStr">
        <is>
          <t>일반 가구</t>
        </is>
      </c>
      <c r="F18" t="n">
        <v>200</v>
      </c>
      <c r="G18" t="n">
        <v>10</v>
      </c>
      <c r="H18">
        <f>IF(F18=0,"기본 지급",ROUND(F18/$B$1,1))</f>
        <v/>
      </c>
      <c r="I18" t="inlineStr"/>
      <c r="J18" t="inlineStr">
        <is>
          <t>room-assets-v6</t>
        </is>
      </c>
    </row>
    <row r="19">
      <c r="A19" t="inlineStr">
        <is>
          <t>catchair</t>
        </is>
      </c>
      <c r="B19" t="inlineStr">
        <is>
          <t>냥귀 안락의자</t>
        </is>
      </c>
      <c r="C19" t="inlineStr">
        <is>
          <t>moon_bedroom</t>
        </is>
      </c>
      <c r="D19" t="inlineStr">
        <is>
          <t>가구</t>
        </is>
      </c>
      <c r="E19" t="inlineStr">
        <is>
          <t>일반 가구</t>
        </is>
      </c>
      <c r="F19" t="n">
        <v>280</v>
      </c>
      <c r="G19" t="n">
        <v>10</v>
      </c>
      <c r="H19">
        <f>IF(F19=0,"기본 지급",ROUND(F19/$B$1,1))</f>
        <v/>
      </c>
      <c r="I19" t="inlineStr"/>
      <c r="J19" t="inlineStr">
        <is>
          <t>room-assets-v6</t>
        </is>
      </c>
    </row>
    <row r="20">
      <c r="A20" t="inlineStr">
        <is>
          <t>plant</t>
        </is>
      </c>
      <c r="B20" t="inlineStr">
        <is>
          <t>발바닥 화분</t>
        </is>
      </c>
      <c r="C20" t="inlineStr">
        <is>
          <t>moon_bedroom</t>
        </is>
      </c>
      <c r="D20" t="inlineStr">
        <is>
          <t>소품</t>
        </is>
      </c>
      <c r="E20" t="inlineStr">
        <is>
          <t>작은 소품</t>
        </is>
      </c>
      <c r="F20" t="n">
        <v>90</v>
      </c>
      <c r="G20" t="n">
        <v>4</v>
      </c>
      <c r="H20">
        <f>IF(F20=0,"기본 지급",ROUND(F20/$B$1,1))</f>
        <v/>
      </c>
      <c r="I20" t="inlineStr">
        <is>
          <t>starterPlaced</t>
        </is>
      </c>
      <c r="J20" t="inlineStr">
        <is>
          <t>room-assets-v6</t>
        </is>
      </c>
    </row>
    <row r="21">
      <c r="A21" t="inlineStr">
        <is>
          <t>monstera</t>
        </is>
      </c>
      <c r="B21" t="inlineStr">
        <is>
          <t>몬스테라</t>
        </is>
      </c>
      <c r="C21" t="inlineStr">
        <is>
          <t>moon_bedroom</t>
        </is>
      </c>
      <c r="D21" t="inlineStr">
        <is>
          <t>소품</t>
        </is>
      </c>
      <c r="E21" t="inlineStr">
        <is>
          <t>작은 소품</t>
        </is>
      </c>
      <c r="F21" t="n">
        <v>130</v>
      </c>
      <c r="G21" t="n">
        <v>4</v>
      </c>
      <c r="H21">
        <f>IF(F21=0,"기본 지급",ROUND(F21/$B$1,1))</f>
        <v/>
      </c>
      <c r="I21" t="inlineStr"/>
      <c r="J21" t="inlineStr">
        <is>
          <t>room-assets-v6</t>
        </is>
      </c>
    </row>
    <row r="22">
      <c r="A22" t="inlineStr">
        <is>
          <t>fishbowl</t>
        </is>
      </c>
      <c r="B22" t="inlineStr">
        <is>
          <t>금붕어 어항</t>
        </is>
      </c>
      <c r="C22" t="inlineStr">
        <is>
          <t>moon_bedroom</t>
        </is>
      </c>
      <c r="D22" t="inlineStr">
        <is>
          <t>소품</t>
        </is>
      </c>
      <c r="E22" t="inlineStr">
        <is>
          <t>작은 소품</t>
        </is>
      </c>
      <c r="F22" t="n">
        <v>120</v>
      </c>
      <c r="G22" t="n">
        <v>4</v>
      </c>
      <c r="H22">
        <f>IF(F22=0,"기본 지급",ROUND(F22/$B$1,1))</f>
        <v/>
      </c>
      <c r="I22" t="inlineStr">
        <is>
          <t>attendance</t>
        </is>
      </c>
      <c r="J22" t="inlineStr">
        <is>
          <t>room-assets-v6</t>
        </is>
      </c>
    </row>
    <row r="23">
      <c r="A23" t="inlineStr">
        <is>
          <t>moonlamp</t>
        </is>
      </c>
      <c r="B23" t="inlineStr">
        <is>
          <t>달 무드등</t>
        </is>
      </c>
      <c r="C23" t="inlineStr">
        <is>
          <t>moon_bedroom</t>
        </is>
      </c>
      <c r="D23" t="inlineStr">
        <is>
          <t>소품</t>
        </is>
      </c>
      <c r="E23" t="inlineStr">
        <is>
          <t>작은 소품</t>
        </is>
      </c>
      <c r="F23" t="n">
        <v>140</v>
      </c>
      <c r="G23" t="n">
        <v>4</v>
      </c>
      <c r="H23">
        <f>IF(F23=0,"기본 지급",ROUND(F23/$B$1,1))</f>
        <v/>
      </c>
      <c r="I23" t="inlineStr"/>
      <c r="J23" t="inlineStr">
        <is>
          <t>room-assets-v6</t>
        </is>
      </c>
    </row>
    <row r="24">
      <c r="A24" t="inlineStr">
        <is>
          <t>yarnbasket</t>
        </is>
      </c>
      <c r="B24" t="inlineStr">
        <is>
          <t>털실 바구니</t>
        </is>
      </c>
      <c r="C24" t="inlineStr">
        <is>
          <t>moon_bedroom</t>
        </is>
      </c>
      <c r="D24" t="inlineStr">
        <is>
          <t>소품</t>
        </is>
      </c>
      <c r="E24" t="inlineStr">
        <is>
          <t>작은 소품</t>
        </is>
      </c>
      <c r="F24" t="n">
        <v>90</v>
      </c>
      <c r="G24" t="n">
        <v>4</v>
      </c>
      <c r="H24">
        <f>IF(F24=0,"기본 지급",ROUND(F24/$B$1,1))</f>
        <v/>
      </c>
      <c r="I24" t="inlineStr">
        <is>
          <t>starterDrawer</t>
        </is>
      </c>
      <c r="J24" t="inlineStr">
        <is>
          <t>room-assets-v6</t>
        </is>
      </c>
    </row>
    <row r="25">
      <c r="A25" t="inlineStr">
        <is>
          <t>cushions</t>
        </is>
      </c>
      <c r="B25" t="inlineStr">
        <is>
          <t>방석 더미</t>
        </is>
      </c>
      <c r="C25" t="inlineStr">
        <is>
          <t>moon_bedroom</t>
        </is>
      </c>
      <c r="D25" t="inlineStr">
        <is>
          <t>소품</t>
        </is>
      </c>
      <c r="E25" t="inlineStr">
        <is>
          <t>작은 소품</t>
        </is>
      </c>
      <c r="F25" t="n">
        <v>100</v>
      </c>
      <c r="G25" t="n">
        <v>4</v>
      </c>
      <c r="H25">
        <f>IF(F25=0,"기본 지급",ROUND(F25/$B$1,1))</f>
        <v/>
      </c>
      <c r="I25" t="inlineStr">
        <is>
          <t>starterDrawer</t>
        </is>
      </c>
      <c r="J25" t="inlineStr">
        <is>
          <t>room-assets-v6</t>
        </is>
      </c>
    </row>
    <row r="26">
      <c r="A26" t="inlineStr">
        <is>
          <t>pawrug</t>
        </is>
      </c>
      <c r="B26" t="inlineStr">
        <is>
          <t>발바닥 러그</t>
        </is>
      </c>
      <c r="C26" t="inlineStr">
        <is>
          <t>moon_bedroom</t>
        </is>
      </c>
      <c r="D26" t="inlineStr">
        <is>
          <t>소품</t>
        </is>
      </c>
      <c r="E26" t="inlineStr">
        <is>
          <t>작은 소품</t>
        </is>
      </c>
      <c r="F26" t="n">
        <v>150</v>
      </c>
      <c r="G26" t="n">
        <v>4</v>
      </c>
      <c r="H26">
        <f>IF(F26=0,"기본 지급",ROUND(F26/$B$1,1))</f>
        <v/>
      </c>
      <c r="I26" t="inlineStr">
        <is>
          <t>starterPlaced</t>
        </is>
      </c>
      <c r="J26" t="inlineStr">
        <is>
          <t>room-assets-v6</t>
        </is>
      </c>
    </row>
    <row r="27">
      <c r="A27" t="inlineStr">
        <is>
          <t>xmastree</t>
        </is>
      </c>
      <c r="B27" t="inlineStr">
        <is>
          <t>미니 트리</t>
        </is>
      </c>
      <c r="C27" t="inlineStr">
        <is>
          <t>moon_bedroom</t>
        </is>
      </c>
      <c r="D27" t="inlineStr">
        <is>
          <t>소품</t>
        </is>
      </c>
      <c r="E27" t="inlineStr">
        <is>
          <t>작은 소품</t>
        </is>
      </c>
      <c r="F27" t="n">
        <v>150</v>
      </c>
      <c r="G27" t="n">
        <v>4</v>
      </c>
      <c r="H27">
        <f>IF(F27=0,"기본 지급",ROUND(F27/$B$1,1))</f>
        <v/>
      </c>
      <c r="I27" t="inlineStr">
        <is>
          <t>limited</t>
        </is>
      </c>
      <c r="J27" t="inlineStr">
        <is>
          <t>room-assets-v6</t>
        </is>
      </c>
    </row>
    <row r="28">
      <c r="A28" t="inlineStr">
        <is>
          <t>maneki</t>
        </is>
      </c>
      <c r="B28" t="inlineStr">
        <is>
          <t>마네키네코</t>
        </is>
      </c>
      <c r="C28" t="inlineStr">
        <is>
          <t>moon_bedroom</t>
        </is>
      </c>
      <c r="D28" t="inlineStr">
        <is>
          <t>소품</t>
        </is>
      </c>
      <c r="E28" t="inlineStr">
        <is>
          <t>작은 소품</t>
        </is>
      </c>
      <c r="F28" t="n">
        <v>150</v>
      </c>
      <c r="G28" t="n">
        <v>4</v>
      </c>
      <c r="H28">
        <f>IF(F28=0,"기본 지급",ROUND(F28/$B$1,1))</f>
        <v/>
      </c>
      <c r="I28" t="inlineStr"/>
      <c r="J28" t="inlineStr">
        <is>
          <t>room-assets-v6</t>
        </is>
      </c>
    </row>
    <row r="29">
      <c r="A29" t="inlineStr">
        <is>
          <t>gramophone</t>
        </is>
      </c>
      <c r="B29" t="inlineStr">
        <is>
          <t>축음기</t>
        </is>
      </c>
      <c r="C29" t="inlineStr">
        <is>
          <t>moon_bedroom</t>
        </is>
      </c>
      <c r="D29" t="inlineStr">
        <is>
          <t>소품</t>
        </is>
      </c>
      <c r="E29" t="inlineStr">
        <is>
          <t>작은 소품</t>
        </is>
      </c>
      <c r="F29" t="n">
        <v>140</v>
      </c>
      <c r="G29" t="n">
        <v>4</v>
      </c>
      <c r="H29">
        <f>IF(F29=0,"기본 지급",ROUND(F29/$B$1,1))</f>
        <v/>
      </c>
      <c r="I29" t="inlineStr"/>
      <c r="J29" t="inlineStr">
        <is>
          <t>room-assets-v6</t>
        </is>
      </c>
    </row>
    <row r="30">
      <c r="A30" t="inlineStr">
        <is>
          <t>globe</t>
        </is>
      </c>
      <c r="B30" t="inlineStr">
        <is>
          <t>지구본</t>
        </is>
      </c>
      <c r="C30" t="inlineStr">
        <is>
          <t>moon_bedroom</t>
        </is>
      </c>
      <c r="D30" t="inlineStr">
        <is>
          <t>소품</t>
        </is>
      </c>
      <c r="E30" t="inlineStr">
        <is>
          <t>작은 소품</t>
        </is>
      </c>
      <c r="F30" t="n">
        <v>120</v>
      </c>
      <c r="G30" t="n">
        <v>4</v>
      </c>
      <c r="H30">
        <f>IF(F30=0,"기본 지급",ROUND(F30/$B$1,1))</f>
        <v/>
      </c>
      <c r="I30" t="inlineStr">
        <is>
          <t>attendance</t>
        </is>
      </c>
      <c r="J30" t="inlineStr">
        <is>
          <t>room-assets-v6</t>
        </is>
      </c>
    </row>
    <row r="31">
      <c r="A31" t="inlineStr">
        <is>
          <t>catcactus</t>
        </is>
      </c>
      <c r="B31" t="inlineStr">
        <is>
          <t>냥이 선인장</t>
        </is>
      </c>
      <c r="C31" t="inlineStr">
        <is>
          <t>moon_bedroom</t>
        </is>
      </c>
      <c r="D31" t="inlineStr">
        <is>
          <t>소품</t>
        </is>
      </c>
      <c r="E31" t="inlineStr">
        <is>
          <t>작은 소품</t>
        </is>
      </c>
      <c r="F31" t="n">
        <v>80</v>
      </c>
      <c r="G31" t="n">
        <v>4</v>
      </c>
      <c r="H31">
        <f>IF(F31=0,"기본 지급",ROUND(F31/$B$1,1))</f>
        <v/>
      </c>
      <c r="I31" t="inlineStr">
        <is>
          <t>attendance</t>
        </is>
      </c>
      <c r="J31" t="inlineStr">
        <is>
          <t>room-assets-v6</t>
        </is>
      </c>
    </row>
    <row r="32">
      <c r="A32" t="inlineStr">
        <is>
          <t>archmirror</t>
        </is>
      </c>
      <c r="B32" t="inlineStr">
        <is>
          <t>아치 거울</t>
        </is>
      </c>
      <c r="C32" t="inlineStr">
        <is>
          <t>moon_bedroom</t>
        </is>
      </c>
      <c r="D32" t="inlineStr">
        <is>
          <t>소품</t>
        </is>
      </c>
      <c r="E32" t="inlineStr">
        <is>
          <t>작은 소품</t>
        </is>
      </c>
      <c r="F32" t="n">
        <v>150</v>
      </c>
      <c r="G32" t="n">
        <v>4</v>
      </c>
      <c r="H32">
        <f>IF(F32=0,"기본 지급",ROUND(F32/$B$1,1))</f>
        <v/>
      </c>
      <c r="I32" t="inlineStr"/>
      <c r="J32" t="inlineStr">
        <is>
          <t>room-assets-v6</t>
        </is>
      </c>
    </row>
    <row r="33">
      <c r="A33" t="inlineStr">
        <is>
          <t>aquarium</t>
        </is>
      </c>
      <c r="B33" t="inlineStr">
        <is>
          <t>수족관 장</t>
        </is>
      </c>
      <c r="C33" t="inlineStr">
        <is>
          <t>moon_bedroom</t>
        </is>
      </c>
      <c r="D33" t="inlineStr">
        <is>
          <t>소품</t>
        </is>
      </c>
      <c r="E33" t="inlineStr">
        <is>
          <t>작은 소품</t>
        </is>
      </c>
      <c r="F33" t="n">
        <v>150</v>
      </c>
      <c r="G33" t="n">
        <v>4</v>
      </c>
      <c r="H33">
        <f>IF(F33=0,"기본 지급",ROUND(F33/$B$1,1))</f>
        <v/>
      </c>
      <c r="I33" t="inlineStr"/>
      <c r="J33" t="inlineStr">
        <is>
          <t>room-assets-v6</t>
        </is>
      </c>
    </row>
    <row r="34">
      <c r="A34" t="inlineStr">
        <is>
          <t>starlight</t>
        </is>
      </c>
      <c r="B34" t="inlineStr">
        <is>
          <t>별 수면등</t>
        </is>
      </c>
      <c r="C34" t="inlineStr">
        <is>
          <t>moon_bedroom</t>
        </is>
      </c>
      <c r="D34" t="inlineStr">
        <is>
          <t>소품</t>
        </is>
      </c>
      <c r="E34" t="inlineStr">
        <is>
          <t>작은 소품</t>
        </is>
      </c>
      <c r="F34" t="n">
        <v>110</v>
      </c>
      <c r="G34" t="n">
        <v>4</v>
      </c>
      <c r="H34">
        <f>IF(F34=0,"기본 지급",ROUND(F34/$B$1,1))</f>
        <v/>
      </c>
      <c r="I34" t="inlineStr">
        <is>
          <t>attendance</t>
        </is>
      </c>
      <c r="J34" t="inlineStr">
        <is>
          <t>room-assets-v6</t>
        </is>
      </c>
    </row>
    <row r="35">
      <c r="A35" t="inlineStr">
        <is>
          <t>gifts</t>
        </is>
      </c>
      <c r="B35" t="inlineStr">
        <is>
          <t>선물 상자</t>
        </is>
      </c>
      <c r="C35" t="inlineStr">
        <is>
          <t>moon_bedroom</t>
        </is>
      </c>
      <c r="D35" t="inlineStr">
        <is>
          <t>소품</t>
        </is>
      </c>
      <c r="E35" t="inlineStr">
        <is>
          <t>작은 소품</t>
        </is>
      </c>
      <c r="F35" t="n">
        <v>100</v>
      </c>
      <c r="G35" t="n">
        <v>4</v>
      </c>
      <c r="H35">
        <f>IF(F35=0,"기본 지급",ROUND(F35/$B$1,1))</f>
        <v/>
      </c>
      <c r="I35" t="inlineStr">
        <is>
          <t>limited</t>
        </is>
      </c>
      <c r="J35" t="inlineStr">
        <is>
          <t>room-assets-v6</t>
        </is>
      </c>
    </row>
    <row r="36">
      <c r="A36" t="inlineStr">
        <is>
          <t>archwindow</t>
        </is>
      </c>
      <c r="B36" t="inlineStr">
        <is>
          <t>커튼 창문</t>
        </is>
      </c>
      <c r="C36" t="inlineStr">
        <is>
          <t>moon_bedroom</t>
        </is>
      </c>
      <c r="D36" t="inlineStr">
        <is>
          <t>벽 꾸미기</t>
        </is>
      </c>
      <c r="E36" t="inlineStr">
        <is>
          <t>벽 꾸미기</t>
        </is>
      </c>
      <c r="F36" t="n">
        <v>200</v>
      </c>
      <c r="G36" t="n">
        <v>6</v>
      </c>
      <c r="H36">
        <f>IF(F36=0,"기본 지급",ROUND(F36/$B$1,1))</f>
        <v/>
      </c>
      <c r="I36" t="inlineStr">
        <is>
          <t>starterPlaced</t>
        </is>
      </c>
      <c r="J36" t="inlineStr">
        <is>
          <t>room-assets-v6</t>
        </is>
      </c>
    </row>
    <row r="37">
      <c r="A37" t="inlineStr">
        <is>
          <t>porthole</t>
        </is>
      </c>
      <c r="B37" t="inlineStr">
        <is>
          <t>동그란 창</t>
        </is>
      </c>
      <c r="C37" t="inlineStr">
        <is>
          <t>moon_bedroom</t>
        </is>
      </c>
      <c r="D37" t="inlineStr">
        <is>
          <t>벽 꾸미기</t>
        </is>
      </c>
      <c r="E37" t="inlineStr">
        <is>
          <t>벽 꾸미기</t>
        </is>
      </c>
      <c r="F37" t="n">
        <v>180</v>
      </c>
      <c r="G37" t="n">
        <v>6</v>
      </c>
      <c r="H37">
        <f>IF(F37=0,"기본 지급",ROUND(F37/$B$1,1))</f>
        <v/>
      </c>
      <c r="I37" t="inlineStr"/>
      <c r="J37" t="inlineStr">
        <is>
          <t>room-assets-v6</t>
        </is>
      </c>
    </row>
    <row r="38">
      <c r="A38" t="inlineStr">
        <is>
          <t>squareframe</t>
        </is>
      </c>
      <c r="B38" t="inlineStr">
        <is>
          <t>네모 액자</t>
        </is>
      </c>
      <c r="C38" t="inlineStr">
        <is>
          <t>moon_bedroom</t>
        </is>
      </c>
      <c r="D38" t="inlineStr">
        <is>
          <t>카드액자</t>
        </is>
      </c>
      <c r="E38" t="inlineStr">
        <is>
          <t>벽 꾸미기</t>
        </is>
      </c>
      <c r="F38" t="n">
        <v>120</v>
      </c>
      <c r="G38" t="n">
        <v>6</v>
      </c>
      <c r="H38">
        <f>IF(F38=0,"기본 지급",ROUND(F38/$B$1,1))</f>
        <v/>
      </c>
      <c r="I38" t="inlineStr"/>
      <c r="J38" t="inlineStr">
        <is>
          <t>room-assets-v6</t>
        </is>
      </c>
    </row>
    <row r="39">
      <c r="A39" t="inlineStr">
        <is>
          <t>cardframe</t>
        </is>
      </c>
      <c r="B39" t="inlineStr">
        <is>
          <t>리본 카드 액자</t>
        </is>
      </c>
      <c r="C39" t="inlineStr">
        <is>
          <t>moon_bedroom</t>
        </is>
      </c>
      <c r="D39" t="inlineStr">
        <is>
          <t>카드액자</t>
        </is>
      </c>
      <c r="E39" t="inlineStr">
        <is>
          <t>벽 꾸미기</t>
        </is>
      </c>
      <c r="F39" t="n">
        <v>100</v>
      </c>
      <c r="G39" t="n">
        <v>6</v>
      </c>
      <c r="H39">
        <f>IF(F39=0,"기본 지급",ROUND(F39/$B$1,1))</f>
        <v/>
      </c>
      <c r="I39" t="inlineStr">
        <is>
          <t>starterPlaced</t>
        </is>
      </c>
      <c r="J39" t="inlineStr">
        <is>
          <t>room-assets-v6</t>
        </is>
      </c>
    </row>
    <row r="40">
      <c r="A40" t="inlineStr">
        <is>
          <t>catclock</t>
        </is>
      </c>
      <c r="B40" t="inlineStr">
        <is>
          <t>냥이 벽시계</t>
        </is>
      </c>
      <c r="C40" t="inlineStr">
        <is>
          <t>moon_bedroom</t>
        </is>
      </c>
      <c r="D40" t="inlineStr">
        <is>
          <t>벽 꾸미기</t>
        </is>
      </c>
      <c r="E40" t="inlineStr">
        <is>
          <t>벽 꾸미기</t>
        </is>
      </c>
      <c r="F40" t="n">
        <v>160</v>
      </c>
      <c r="G40" t="n">
        <v>6</v>
      </c>
      <c r="H40">
        <f>IF(F40=0,"기본 지급",ROUND(F40/$B$1,1))</f>
        <v/>
      </c>
      <c r="I40" t="inlineStr"/>
      <c r="J40" t="inlineStr">
        <is>
          <t>room-assets-v6</t>
        </is>
      </c>
    </row>
    <row r="41">
      <c r="A41" t="inlineStr">
        <is>
          <t>fairylights</t>
        </is>
      </c>
      <c r="B41" t="inlineStr">
        <is>
          <t>꼬마전구</t>
        </is>
      </c>
      <c r="C41" t="inlineStr">
        <is>
          <t>moon_bedroom</t>
        </is>
      </c>
      <c r="D41" t="inlineStr">
        <is>
          <t>벽 꾸미기</t>
        </is>
      </c>
      <c r="E41" t="inlineStr">
        <is>
          <t>벽 꾸미기</t>
        </is>
      </c>
      <c r="F41" t="n">
        <v>180</v>
      </c>
      <c r="G41" t="n">
        <v>6</v>
      </c>
      <c r="H41">
        <f>IF(F41=0,"기본 지급",ROUND(F41/$B$1,1))</f>
        <v/>
      </c>
      <c r="I41" t="inlineStr"/>
      <c r="J41" t="inlineStr">
        <is>
          <t>room-assets-v6</t>
        </is>
      </c>
    </row>
    <row r="42">
      <c r="A42" t="inlineStr">
        <is>
          <t>wallshelf</t>
        </is>
      </c>
      <c r="B42" t="inlineStr">
        <is>
          <t>화분 선반</t>
        </is>
      </c>
      <c r="C42" t="inlineStr">
        <is>
          <t>moon_bedroom</t>
        </is>
      </c>
      <c r="D42" t="inlineStr">
        <is>
          <t>벽 꾸미기</t>
        </is>
      </c>
      <c r="E42" t="inlineStr">
        <is>
          <t>벽 꾸미기</t>
        </is>
      </c>
      <c r="F42" t="n">
        <v>150</v>
      </c>
      <c r="G42" t="n">
        <v>6</v>
      </c>
      <c r="H42">
        <f>IF(F42=0,"기본 지급",ROUND(F42/$B$1,1))</f>
        <v/>
      </c>
      <c r="I42" t="inlineStr"/>
      <c r="J42" t="inlineStr">
        <is>
          <t>room-assets-v6</t>
        </is>
      </c>
    </row>
    <row r="43">
      <c r="A43" t="inlineStr">
        <is>
          <t>bunting</t>
        </is>
      </c>
      <c r="B43" t="inlineStr">
        <is>
          <t>발바닥 가랜드</t>
        </is>
      </c>
      <c r="C43" t="inlineStr">
        <is>
          <t>moon_bedroom</t>
        </is>
      </c>
      <c r="D43" t="inlineStr">
        <is>
          <t>벽 꾸미기</t>
        </is>
      </c>
      <c r="E43" t="inlineStr">
        <is>
          <t>벽 꾸미기</t>
        </is>
      </c>
      <c r="F43" t="n">
        <v>130</v>
      </c>
      <c r="G43" t="n">
        <v>6</v>
      </c>
      <c r="H43">
        <f>IF(F43=0,"기본 지급",ROUND(F43/$B$1,1))</f>
        <v/>
      </c>
      <c r="I43" t="inlineStr">
        <is>
          <t>attendance</t>
        </is>
      </c>
      <c r="J43" t="inlineStr">
        <is>
          <t>room-assets-v6</t>
        </is>
      </c>
    </row>
    <row r="44">
      <c r="A44" t="inlineStr">
        <is>
          <t>starlamp</t>
        </is>
      </c>
      <c r="B44" t="inlineStr">
        <is>
          <t>별 벽등</t>
        </is>
      </c>
      <c r="C44" t="inlineStr">
        <is>
          <t>moon_bedroom</t>
        </is>
      </c>
      <c r="D44" t="inlineStr">
        <is>
          <t>벽 꾸미기</t>
        </is>
      </c>
      <c r="E44" t="inlineStr">
        <is>
          <t>벽 꾸미기</t>
        </is>
      </c>
      <c r="F44" t="n">
        <v>220</v>
      </c>
      <c r="G44" t="n">
        <v>6</v>
      </c>
      <c r="H44">
        <f>IF(F44=0,"기본 지급",ROUND(F44/$B$1,1))</f>
        <v/>
      </c>
      <c r="I44" t="inlineStr"/>
      <c r="J44" t="inlineStr">
        <is>
          <t>room-assets-v6</t>
        </is>
      </c>
    </row>
    <row r="45">
      <c r="A45" t="inlineStr">
        <is>
          <t>earmirror</t>
        </is>
      </c>
      <c r="B45" t="inlineStr">
        <is>
          <t>냥귀 거울</t>
        </is>
      </c>
      <c r="C45" t="inlineStr">
        <is>
          <t>moon_bedroom</t>
        </is>
      </c>
      <c r="D45" t="inlineStr">
        <is>
          <t>벽 꾸미기</t>
        </is>
      </c>
      <c r="E45" t="inlineStr">
        <is>
          <t>벽 꾸미기</t>
        </is>
      </c>
      <c r="F45" t="n">
        <v>170</v>
      </c>
      <c r="G45" t="n">
        <v>6</v>
      </c>
      <c r="H45">
        <f>IF(F45=0,"기본 지급",ROUND(F45/$B$1,1))</f>
        <v/>
      </c>
      <c r="I45" t="inlineStr"/>
      <c r="J45" t="inlineStr">
        <is>
          <t>room-assets-v6</t>
        </is>
      </c>
    </row>
    <row r="46">
      <c r="A46" t="inlineStr">
        <is>
          <t>moonmobile</t>
        </is>
      </c>
      <c r="B46" t="inlineStr">
        <is>
          <t>달 모빌</t>
        </is>
      </c>
      <c r="C46" t="inlineStr">
        <is>
          <t>moon_bedroom</t>
        </is>
      </c>
      <c r="D46" t="inlineStr">
        <is>
          <t>벽 꾸미기</t>
        </is>
      </c>
      <c r="E46" t="inlineStr">
        <is>
          <t>벽 꾸미기</t>
        </is>
      </c>
      <c r="F46" t="n">
        <v>200</v>
      </c>
      <c r="G46" t="n">
        <v>6</v>
      </c>
      <c r="H46">
        <f>IF(F46=0,"기본 지급",ROUND(F46/$B$1,1))</f>
        <v/>
      </c>
      <c r="I46" t="inlineStr"/>
      <c r="J46" t="inlineStr">
        <is>
          <t>room-assets-v6</t>
        </is>
      </c>
    </row>
    <row r="47">
      <c r="A47" t="inlineStr">
        <is>
          <t>corkboard</t>
        </is>
      </c>
      <c r="B47" t="inlineStr">
        <is>
          <t>메모 보드</t>
        </is>
      </c>
      <c r="C47" t="inlineStr">
        <is>
          <t>moon_bedroom</t>
        </is>
      </c>
      <c r="D47" t="inlineStr">
        <is>
          <t>벽 꾸미기</t>
        </is>
      </c>
      <c r="E47" t="inlineStr">
        <is>
          <t>벽 꾸미기</t>
        </is>
      </c>
      <c r="F47" t="n">
        <v>120</v>
      </c>
      <c r="G47" t="n">
        <v>6</v>
      </c>
      <c r="H47">
        <f>IF(F47=0,"기본 지급",ROUND(F47/$B$1,1))</f>
        <v/>
      </c>
      <c r="I47" t="inlineStr"/>
      <c r="J47" t="inlineStr">
        <is>
          <t>room-assets-v6</t>
        </is>
      </c>
    </row>
    <row r="48">
      <c r="A48" t="inlineStr">
        <is>
          <t>catsteps</t>
        </is>
      </c>
      <c r="B48" t="inlineStr">
        <is>
          <t>캣 스텝</t>
        </is>
      </c>
      <c r="C48" t="inlineStr">
        <is>
          <t>moon_bedroom</t>
        </is>
      </c>
      <c r="D48" t="inlineStr">
        <is>
          <t>벽 꾸미기</t>
        </is>
      </c>
      <c r="E48" t="inlineStr">
        <is>
          <t>벽 꾸미기</t>
        </is>
      </c>
      <c r="F48" t="n">
        <v>250</v>
      </c>
      <c r="G48" t="n">
        <v>6</v>
      </c>
      <c r="H48">
        <f>IF(F48=0,"기본 지급",ROUND(F48/$B$1,1))</f>
        <v/>
      </c>
      <c r="I48" t="inlineStr"/>
      <c r="J48" t="inlineStr">
        <is>
          <t>room-assets-v6</t>
        </is>
      </c>
    </row>
    <row r="49">
      <c r="A49" t="inlineStr">
        <is>
          <t>heartneon</t>
        </is>
      </c>
      <c r="B49" t="inlineStr">
        <is>
          <t>하트 네온</t>
        </is>
      </c>
      <c r="C49" t="inlineStr">
        <is>
          <t>moon_bedroom</t>
        </is>
      </c>
      <c r="D49" t="inlineStr">
        <is>
          <t>벽 꾸미기</t>
        </is>
      </c>
      <c r="E49" t="inlineStr">
        <is>
          <t>벽 꾸미기</t>
        </is>
      </c>
      <c r="F49" t="n">
        <v>240</v>
      </c>
      <c r="G49" t="n">
        <v>6</v>
      </c>
      <c r="H49">
        <f>IF(F49=0,"기본 지급",ROUND(F49/$B$1,1))</f>
        <v/>
      </c>
      <c r="I49" t="inlineStr"/>
      <c r="J49" t="inlineStr">
        <is>
          <t>room-assets-v6</t>
        </is>
      </c>
    </row>
    <row r="50">
      <c r="A50" t="inlineStr">
        <is>
          <t>dreamcatcher</t>
        </is>
      </c>
      <c r="B50" t="inlineStr">
        <is>
          <t>드림캐처</t>
        </is>
      </c>
      <c r="C50" t="inlineStr">
        <is>
          <t>moon_bedroom</t>
        </is>
      </c>
      <c r="D50" t="inlineStr">
        <is>
          <t>벽 꾸미기</t>
        </is>
      </c>
      <c r="E50" t="inlineStr">
        <is>
          <t>벽 꾸미기</t>
        </is>
      </c>
      <c r="F50" t="n">
        <v>140</v>
      </c>
      <c r="G50" t="n">
        <v>6</v>
      </c>
      <c r="H50">
        <f>IF(F50=0,"기본 지급",ROUND(F50/$B$1,1))</f>
        <v/>
      </c>
      <c r="I50" t="inlineStr"/>
      <c r="J50" t="inlineStr">
        <is>
          <t>room-assets-v6</t>
        </is>
      </c>
    </row>
    <row r="51">
      <c r="A51" t="inlineStr">
        <is>
          <t>calendar</t>
        </is>
      </c>
      <c r="B51" t="inlineStr">
        <is>
          <t>발바닥 달력</t>
        </is>
      </c>
      <c r="C51" t="inlineStr">
        <is>
          <t>moon_bedroom</t>
        </is>
      </c>
      <c r="D51" t="inlineStr">
        <is>
          <t>벽 꾸미기</t>
        </is>
      </c>
      <c r="E51" t="inlineStr">
        <is>
          <t>벽 꾸미기</t>
        </is>
      </c>
      <c r="F51" t="n">
        <v>100</v>
      </c>
      <c r="G51" t="n">
        <v>6</v>
      </c>
      <c r="H51">
        <f>IF(F51=0,"기본 지급",ROUND(F51/$B$1,1))</f>
        <v/>
      </c>
      <c r="I51" t="inlineStr">
        <is>
          <t>attendance</t>
        </is>
      </c>
      <c r="J51" t="inlineStr">
        <is>
          <t>room-assets-v6</t>
        </is>
      </c>
    </row>
    <row r="52">
      <c r="A52" t="inlineStr">
        <is>
          <t>floor_wood_honey</t>
        </is>
      </c>
      <c r="B52" t="inlineStr">
        <is>
          <t>꿀빛 원목</t>
        </is>
      </c>
      <c r="C52" t="inlineStr">
        <is>
          <t>moon_bedroom</t>
        </is>
      </c>
      <c r="D52" t="inlineStr">
        <is>
          <t>바닥</t>
        </is>
      </c>
      <c r="E52" t="inlineStr">
        <is>
          <t>벽지/바닥</t>
        </is>
      </c>
      <c r="F52" t="n">
        <v>0</v>
      </c>
      <c r="G52" t="n">
        <v>8</v>
      </c>
      <c r="H52">
        <f>IF(F52=0,"기본 지급",ROUND(F52/$B$1,1))</f>
        <v/>
      </c>
      <c r="I52" t="inlineStr">
        <is>
          <t>roomDefault, starterPlaced</t>
        </is>
      </c>
      <c r="J52" t="inlineStr">
        <is>
          <t>room-assets-v6</t>
        </is>
      </c>
    </row>
    <row r="53">
      <c r="A53" t="inlineStr">
        <is>
          <t>floor_wood_oak</t>
        </is>
      </c>
      <c r="B53" t="inlineStr">
        <is>
          <t>밝은 오크</t>
        </is>
      </c>
      <c r="C53" t="inlineStr">
        <is>
          <t>moon_bedroom</t>
        </is>
      </c>
      <c r="D53" t="inlineStr">
        <is>
          <t>바닥</t>
        </is>
      </c>
      <c r="E53" t="inlineStr">
        <is>
          <t>벽지/바닥</t>
        </is>
      </c>
      <c r="F53" t="n">
        <v>200</v>
      </c>
      <c r="G53" t="n">
        <v>8</v>
      </c>
      <c r="H53">
        <f>IF(F53=0,"기본 지급",ROUND(F53/$B$1,1))</f>
        <v/>
      </c>
      <c r="I53" t="inlineStr"/>
      <c r="J53" t="inlineStr">
        <is>
          <t>room-assets-v6</t>
        </is>
      </c>
    </row>
    <row r="54">
      <c r="A54" t="inlineStr">
        <is>
          <t>floor_check_pink</t>
        </is>
      </c>
      <c r="B54" t="inlineStr">
        <is>
          <t>핑크 체크</t>
        </is>
      </c>
      <c r="C54" t="inlineStr">
        <is>
          <t>moon_bedroom</t>
        </is>
      </c>
      <c r="D54" t="inlineStr">
        <is>
          <t>바닥</t>
        </is>
      </c>
      <c r="E54" t="inlineStr">
        <is>
          <t>벽지/바닥</t>
        </is>
      </c>
      <c r="F54" t="n">
        <v>240</v>
      </c>
      <c r="G54" t="n">
        <v>8</v>
      </c>
      <c r="H54">
        <f>IF(F54=0,"기본 지급",ROUND(F54/$B$1,1))</f>
        <v/>
      </c>
      <c r="I54" t="inlineStr">
        <is>
          <t>starterDrawer</t>
        </is>
      </c>
      <c r="J54" t="inlineStr">
        <is>
          <t>room-assets-v6</t>
        </is>
      </c>
    </row>
    <row r="55">
      <c r="A55" t="inlineStr">
        <is>
          <t>floor_check_mint</t>
        </is>
      </c>
      <c r="B55" t="inlineStr">
        <is>
          <t>민트 체크</t>
        </is>
      </c>
      <c r="C55" t="inlineStr">
        <is>
          <t>moon_bedroom</t>
        </is>
      </c>
      <c r="D55" t="inlineStr">
        <is>
          <t>바닥</t>
        </is>
      </c>
      <c r="E55" t="inlineStr">
        <is>
          <t>벽지/바닥</t>
        </is>
      </c>
      <c r="F55" t="n">
        <v>240</v>
      </c>
      <c r="G55" t="n">
        <v>8</v>
      </c>
      <c r="H55">
        <f>IF(F55=0,"기본 지급",ROUND(F55/$B$1,1))</f>
        <v/>
      </c>
      <c r="I55" t="inlineStr"/>
      <c r="J55" t="inlineStr">
        <is>
          <t>room-assets-v6</t>
        </is>
      </c>
    </row>
    <row r="56">
      <c r="A56" t="inlineStr">
        <is>
          <t>floor_herring_lav</t>
        </is>
      </c>
      <c r="B56" t="inlineStr">
        <is>
          <t>라벤더 헤링본</t>
        </is>
      </c>
      <c r="C56" t="inlineStr">
        <is>
          <t>moon_bedroom</t>
        </is>
      </c>
      <c r="D56" t="inlineStr">
        <is>
          <t>바닥</t>
        </is>
      </c>
      <c r="E56" t="inlineStr">
        <is>
          <t>벽지/바닥</t>
        </is>
      </c>
      <c r="F56" t="n">
        <v>280</v>
      </c>
      <c r="G56" t="n">
        <v>8</v>
      </c>
      <c r="H56">
        <f>IF(F56=0,"기본 지급",ROUND(F56/$B$1,1))</f>
        <v/>
      </c>
      <c r="I56" t="inlineStr"/>
      <c r="J56" t="inlineStr">
        <is>
          <t>room-assets-v6</t>
        </is>
      </c>
    </row>
    <row r="57">
      <c r="A57" t="inlineStr">
        <is>
          <t>floor_marble_cream</t>
        </is>
      </c>
      <c r="B57" t="inlineStr">
        <is>
          <t>크림 대리석</t>
        </is>
      </c>
      <c r="C57" t="inlineStr">
        <is>
          <t>moon_bedroom</t>
        </is>
      </c>
      <c r="D57" t="inlineStr">
        <is>
          <t>바닥</t>
        </is>
      </c>
      <c r="E57" t="inlineStr">
        <is>
          <t>벽지/바닥</t>
        </is>
      </c>
      <c r="F57" t="n">
        <v>320</v>
      </c>
      <c r="G57" t="n">
        <v>8</v>
      </c>
      <c r="H57">
        <f>IF(F57=0,"기본 지급",ROUND(F57/$B$1,1))</f>
        <v/>
      </c>
      <c r="I57" t="inlineStr"/>
      <c r="J57" t="inlineStr">
        <is>
          <t>room-assets-v6</t>
        </is>
      </c>
    </row>
    <row r="58">
      <c r="A58" t="inlineStr">
        <is>
          <t>floor_paw_tile</t>
        </is>
      </c>
      <c r="B58" t="inlineStr">
        <is>
          <t>발바닥 타일</t>
        </is>
      </c>
      <c r="C58" t="inlineStr">
        <is>
          <t>moon_bedroom</t>
        </is>
      </c>
      <c r="D58" t="inlineStr">
        <is>
          <t>바닥</t>
        </is>
      </c>
      <c r="E58" t="inlineStr">
        <is>
          <t>벽지/바닥</t>
        </is>
      </c>
      <c r="F58" t="n">
        <v>300</v>
      </c>
      <c r="G58" t="n">
        <v>8</v>
      </c>
      <c r="H58">
        <f>IF(F58=0,"기본 지급",ROUND(F58/$B$1,1))</f>
        <v/>
      </c>
      <c r="I58" t="inlineStr"/>
      <c r="J58" t="inlineStr">
        <is>
          <t>room-assets-v6</t>
        </is>
      </c>
    </row>
    <row r="59">
      <c r="A59" t="inlineStr">
        <is>
          <t>floor_star_navy</t>
        </is>
      </c>
      <c r="B59" t="inlineStr">
        <is>
          <t>별가루 네이비</t>
        </is>
      </c>
      <c r="C59" t="inlineStr">
        <is>
          <t>moon_bedroom</t>
        </is>
      </c>
      <c r="D59" t="inlineStr">
        <is>
          <t>바닥</t>
        </is>
      </c>
      <c r="E59" t="inlineStr">
        <is>
          <t>벽지/바닥</t>
        </is>
      </c>
      <c r="F59" t="n">
        <v>360</v>
      </c>
      <c r="G59" t="n">
        <v>8</v>
      </c>
      <c r="H59">
        <f>IF(F59=0,"기본 지급",ROUND(F59/$B$1,1))</f>
        <v/>
      </c>
      <c r="I59" t="inlineStr"/>
      <c r="J59" t="inlineStr">
        <is>
          <t>room-assets-v6</t>
        </is>
      </c>
    </row>
    <row r="60">
      <c r="A60" t="inlineStr">
        <is>
          <t>floor_carpet_pink</t>
        </is>
      </c>
      <c r="B60" t="inlineStr">
        <is>
          <t>몽글 핑크 카펫</t>
        </is>
      </c>
      <c r="C60" t="inlineStr">
        <is>
          <t>moon_bedroom</t>
        </is>
      </c>
      <c r="D60" t="inlineStr">
        <is>
          <t>바닥</t>
        </is>
      </c>
      <c r="E60" t="inlineStr">
        <is>
          <t>벽지/바닥</t>
        </is>
      </c>
      <c r="F60" t="n">
        <v>260</v>
      </c>
      <c r="G60" t="n">
        <v>8</v>
      </c>
      <c r="H60">
        <f>IF(F60=0,"기본 지급",ROUND(F60/$B$1,1))</f>
        <v/>
      </c>
      <c r="I60" t="inlineStr"/>
      <c r="J60" t="inlineStr">
        <is>
          <t>room-assets-v6</t>
        </is>
      </c>
    </row>
    <row r="61">
      <c r="A61" t="inlineStr">
        <is>
          <t>floor_meadow</t>
        </is>
      </c>
      <c r="B61" t="inlineStr">
        <is>
          <t>초록 들판</t>
        </is>
      </c>
      <c r="C61" t="inlineStr">
        <is>
          <t>moon_bedroom</t>
        </is>
      </c>
      <c r="D61" t="inlineStr">
        <is>
          <t>바닥</t>
        </is>
      </c>
      <c r="E61" t="inlineStr">
        <is>
          <t>벽지/바닥</t>
        </is>
      </c>
      <c r="F61" t="n">
        <v>300</v>
      </c>
      <c r="G61" t="n">
        <v>8</v>
      </c>
      <c r="H61">
        <f>IF(F61=0,"기본 지급",ROUND(F61/$B$1,1))</f>
        <v/>
      </c>
      <c r="I61" t="inlineStr"/>
      <c r="J61" t="inlineStr">
        <is>
          <t>room-assets-v6</t>
        </is>
      </c>
    </row>
    <row r="62">
      <c r="A62" t="inlineStr">
        <is>
          <t>floor_cloud</t>
        </is>
      </c>
      <c r="B62" t="inlineStr">
        <is>
          <t>구름 타일</t>
        </is>
      </c>
      <c r="C62" t="inlineStr">
        <is>
          <t>moon_bedroom</t>
        </is>
      </c>
      <c r="D62" t="inlineStr">
        <is>
          <t>바닥</t>
        </is>
      </c>
      <c r="E62" t="inlineStr">
        <is>
          <t>벽지/바닥</t>
        </is>
      </c>
      <c r="F62" t="n">
        <v>340</v>
      </c>
      <c r="G62" t="n">
        <v>8</v>
      </c>
      <c r="H62">
        <f>IF(F62=0,"기본 지급",ROUND(F62/$B$1,1))</f>
        <v/>
      </c>
      <c r="I62" t="inlineStr"/>
      <c r="J62" t="inlineStr">
        <is>
          <t>room-assets-v6</t>
        </is>
      </c>
    </row>
    <row r="63">
      <c r="A63" t="inlineStr">
        <is>
          <t>floor_terrazzo</t>
        </is>
      </c>
      <c r="B63" t="inlineStr">
        <is>
          <t>파스텔 테라조</t>
        </is>
      </c>
      <c r="C63" t="inlineStr">
        <is>
          <t>moon_bedroom</t>
        </is>
      </c>
      <c r="D63" t="inlineStr">
        <is>
          <t>바닥</t>
        </is>
      </c>
      <c r="E63" t="inlineStr">
        <is>
          <t>벽지/바닥</t>
        </is>
      </c>
      <c r="F63" t="n">
        <v>320</v>
      </c>
      <c r="G63" t="n">
        <v>8</v>
      </c>
      <c r="H63">
        <f>IF(F63=0,"기본 지급",ROUND(F63/$B$1,1))</f>
        <v/>
      </c>
      <c r="I63" t="inlineStr"/>
      <c r="J63" t="inlineStr">
        <is>
          <t>room-assets-v6</t>
        </is>
      </c>
    </row>
    <row r="64">
      <c r="A64" t="inlineStr">
        <is>
          <t>wall_plum_sparkle</t>
        </is>
      </c>
      <c r="B64" t="inlineStr">
        <is>
          <t>플럼 반짝이</t>
        </is>
      </c>
      <c r="C64" t="inlineStr">
        <is>
          <t>moon_bedroom</t>
        </is>
      </c>
      <c r="D64" t="inlineStr">
        <is>
          <t>벽지</t>
        </is>
      </c>
      <c r="E64" t="inlineStr">
        <is>
          <t>벽지/바닥</t>
        </is>
      </c>
      <c r="F64" t="n">
        <v>0</v>
      </c>
      <c r="G64" t="n">
        <v>8</v>
      </c>
      <c r="H64">
        <f>IF(F64=0,"기본 지급",ROUND(F64/$B$1,1))</f>
        <v/>
      </c>
      <c r="I64" t="inlineStr">
        <is>
          <t>roomDefault, starterPlaced</t>
        </is>
      </c>
      <c r="J64" t="inlineStr">
        <is>
          <t>room-assets-v6</t>
        </is>
      </c>
    </row>
    <row r="65">
      <c r="A65" t="inlineStr">
        <is>
          <t>wall_lav_stripe</t>
        </is>
      </c>
      <c r="B65" t="inlineStr">
        <is>
          <t>라벤더 줄무늬</t>
        </is>
      </c>
      <c r="C65" t="inlineStr">
        <is>
          <t>moon_bedroom</t>
        </is>
      </c>
      <c r="D65" t="inlineStr">
        <is>
          <t>벽지</t>
        </is>
      </c>
      <c r="E65" t="inlineStr">
        <is>
          <t>벽지/바닥</t>
        </is>
      </c>
      <c r="F65" t="n">
        <v>220</v>
      </c>
      <c r="G65" t="n">
        <v>8</v>
      </c>
      <c r="H65">
        <f>IF(F65=0,"기본 지급",ROUND(F65/$B$1,1))</f>
        <v/>
      </c>
      <c r="I65" t="inlineStr"/>
      <c r="J65" t="inlineStr">
        <is>
          <t>room-assets-v6</t>
        </is>
      </c>
    </row>
    <row r="66">
      <c r="A66" t="inlineStr">
        <is>
          <t>wall_pink_polka</t>
        </is>
      </c>
      <c r="B66" t="inlineStr">
        <is>
          <t>핑크 도트</t>
        </is>
      </c>
      <c r="C66" t="inlineStr">
        <is>
          <t>moon_bedroom</t>
        </is>
      </c>
      <c r="D66" t="inlineStr">
        <is>
          <t>벽지</t>
        </is>
      </c>
      <c r="E66" t="inlineStr">
        <is>
          <t>벽지/바닥</t>
        </is>
      </c>
      <c r="F66" t="n">
        <v>240</v>
      </c>
      <c r="G66" t="n">
        <v>8</v>
      </c>
      <c r="H66">
        <f>IF(F66=0,"기본 지급",ROUND(F66/$B$1,1))</f>
        <v/>
      </c>
      <c r="I66" t="inlineStr"/>
      <c r="J66" t="inlineStr">
        <is>
          <t>room-assets-v6</t>
        </is>
      </c>
    </row>
    <row r="67">
      <c r="A67" t="inlineStr">
        <is>
          <t>wall_mint_gingham</t>
        </is>
      </c>
      <c r="B67" t="inlineStr">
        <is>
          <t>민트 깅엄</t>
        </is>
      </c>
      <c r="C67" t="inlineStr">
        <is>
          <t>moon_bedroom</t>
        </is>
      </c>
      <c r="D67" t="inlineStr">
        <is>
          <t>벽지</t>
        </is>
      </c>
      <c r="E67" t="inlineStr">
        <is>
          <t>벽지/바닥</t>
        </is>
      </c>
      <c r="F67" t="n">
        <v>240</v>
      </c>
      <c r="G67" t="n">
        <v>8</v>
      </c>
      <c r="H67">
        <f>IF(F67=0,"기본 지급",ROUND(F67/$B$1,1))</f>
        <v/>
      </c>
      <c r="I67" t="inlineStr">
        <is>
          <t>starterDrawer</t>
        </is>
      </c>
      <c r="J67" t="inlineStr">
        <is>
          <t>room-assets-v6</t>
        </is>
      </c>
    </row>
    <row r="68">
      <c r="A68" t="inlineStr">
        <is>
          <t>wall_cream_cats</t>
        </is>
      </c>
      <c r="B68" t="inlineStr">
        <is>
          <t>크림 냥이</t>
        </is>
      </c>
      <c r="C68" t="inlineStr">
        <is>
          <t>moon_bedroom</t>
        </is>
      </c>
      <c r="D68" t="inlineStr">
        <is>
          <t>벽지</t>
        </is>
      </c>
      <c r="E68" t="inlineStr">
        <is>
          <t>벽지/바닥</t>
        </is>
      </c>
      <c r="F68" t="n">
        <v>280</v>
      </c>
      <c r="G68" t="n">
        <v>8</v>
      </c>
      <c r="H68">
        <f>IF(F68=0,"기본 지급",ROUND(F68/$B$1,1))</f>
        <v/>
      </c>
      <c r="I68" t="inlineStr"/>
      <c r="J68" t="inlineStr">
        <is>
          <t>room-assets-v6</t>
        </is>
      </c>
    </row>
    <row r="69">
      <c r="A69" t="inlineStr">
        <is>
          <t>wall_night_sky</t>
        </is>
      </c>
      <c r="B69" t="inlineStr">
        <is>
          <t>밤하늘 별빛</t>
        </is>
      </c>
      <c r="C69" t="inlineStr">
        <is>
          <t>moon_bedroom</t>
        </is>
      </c>
      <c r="D69" t="inlineStr">
        <is>
          <t>벽지</t>
        </is>
      </c>
      <c r="E69" t="inlineStr">
        <is>
          <t>벽지/바닥</t>
        </is>
      </c>
      <c r="F69" t="n">
        <v>380</v>
      </c>
      <c r="G69" t="n">
        <v>8</v>
      </c>
      <c r="H69">
        <f>IF(F69=0,"기본 지급",ROUND(F69/$B$1,1))</f>
        <v/>
      </c>
      <c r="I69" t="inlineStr"/>
      <c r="J69" t="inlineStr">
        <is>
          <t>room-assets-v6</t>
        </is>
      </c>
    </row>
    <row r="70">
      <c r="A70" t="inlineStr">
        <is>
          <t>wall_peach_hearts</t>
        </is>
      </c>
      <c r="B70" t="inlineStr">
        <is>
          <t>피치 하트</t>
        </is>
      </c>
      <c r="C70" t="inlineStr">
        <is>
          <t>moon_bedroom</t>
        </is>
      </c>
      <c r="D70" t="inlineStr">
        <is>
          <t>벽지</t>
        </is>
      </c>
      <c r="E70" t="inlineStr">
        <is>
          <t>벽지/바닥</t>
        </is>
      </c>
      <c r="F70" t="n">
        <v>260</v>
      </c>
      <c r="G70" t="n">
        <v>8</v>
      </c>
      <c r="H70">
        <f>IF(F70=0,"기본 지급",ROUND(F70/$B$1,1))</f>
        <v/>
      </c>
      <c r="I70" t="inlineStr"/>
      <c r="J70" t="inlineStr">
        <is>
          <t>room-assets-v6</t>
        </is>
      </c>
    </row>
    <row r="71">
      <c r="A71" t="inlineStr">
        <is>
          <t>wall_wainscot</t>
        </is>
      </c>
      <c r="B71" t="inlineStr">
        <is>
          <t>원목 웨인스코팅</t>
        </is>
      </c>
      <c r="C71" t="inlineStr">
        <is>
          <t>moon_bedroom</t>
        </is>
      </c>
      <c r="D71" t="inlineStr">
        <is>
          <t>벽지</t>
        </is>
      </c>
      <c r="E71" t="inlineStr">
        <is>
          <t>벽지/바닥</t>
        </is>
      </c>
      <c r="F71" t="n">
        <v>300</v>
      </c>
      <c r="G71" t="n">
        <v>8</v>
      </c>
      <c r="H71">
        <f>IF(F71=0,"기본 지급",ROUND(F71/$B$1,1))</f>
        <v/>
      </c>
      <c r="I71" t="inlineStr"/>
      <c r="J71" t="inlineStr">
        <is>
          <t>room-assets-v6</t>
        </is>
      </c>
    </row>
    <row r="72">
      <c r="A72" t="inlineStr">
        <is>
          <t>wall_cloud_wall</t>
        </is>
      </c>
      <c r="B72" t="inlineStr">
        <is>
          <t>몽실 구름</t>
        </is>
      </c>
      <c r="C72" t="inlineStr">
        <is>
          <t>moon_bedroom</t>
        </is>
      </c>
      <c r="D72" t="inlineStr">
        <is>
          <t>벽지</t>
        </is>
      </c>
      <c r="E72" t="inlineStr">
        <is>
          <t>벽지/바닥</t>
        </is>
      </c>
      <c r="F72" t="n">
        <v>320</v>
      </c>
      <c r="G72" t="n">
        <v>8</v>
      </c>
      <c r="H72">
        <f>IF(F72=0,"기본 지급",ROUND(F72/$B$1,1))</f>
        <v/>
      </c>
      <c r="I72" t="inlineStr"/>
      <c r="J72" t="inlineStr">
        <is>
          <t>room-assets-v6</t>
        </is>
      </c>
    </row>
    <row r="73">
      <c r="A73" t="inlineStr">
        <is>
          <t>wall_paw_wall</t>
        </is>
      </c>
      <c r="B73" t="inlineStr">
        <is>
          <t>발바닥 벽지</t>
        </is>
      </c>
      <c r="C73" t="inlineStr">
        <is>
          <t>moon_bedroom</t>
        </is>
      </c>
      <c r="D73" t="inlineStr">
        <is>
          <t>벽지</t>
        </is>
      </c>
      <c r="E73" t="inlineStr">
        <is>
          <t>벽지/바닥</t>
        </is>
      </c>
      <c r="F73" t="n">
        <v>280</v>
      </c>
      <c r="G73" t="n">
        <v>8</v>
      </c>
      <c r="H73">
        <f>IF(F73=0,"기본 지급",ROUND(F73/$B$1,1))</f>
        <v/>
      </c>
      <c r="I73" t="inlineStr"/>
      <c r="J73" t="inlineStr">
        <is>
          <t>room-assets-v6</t>
        </is>
      </c>
    </row>
    <row r="74">
      <c r="A74" t="inlineStr">
        <is>
          <t>wall_sage_leaf</t>
        </is>
      </c>
      <c r="B74" t="inlineStr">
        <is>
          <t>세이지 잎사귀</t>
        </is>
      </c>
      <c r="C74" t="inlineStr">
        <is>
          <t>moon_bedroom</t>
        </is>
      </c>
      <c r="D74" t="inlineStr">
        <is>
          <t>벽지</t>
        </is>
      </c>
      <c r="E74" t="inlineStr">
        <is>
          <t>벽지/바닥</t>
        </is>
      </c>
      <c r="F74" t="n">
        <v>260</v>
      </c>
      <c r="G74" t="n">
        <v>8</v>
      </c>
      <c r="H74">
        <f>IF(F74=0,"기본 지급",ROUND(F74/$B$1,1))</f>
        <v/>
      </c>
      <c r="I74" t="inlineStr"/>
      <c r="J74" t="inlineStr">
        <is>
          <t>room-assets-v6</t>
        </is>
      </c>
    </row>
    <row r="75">
      <c r="A75" t="inlineStr">
        <is>
          <t>wall_moon_navy</t>
        </is>
      </c>
      <c r="B75" t="inlineStr">
        <is>
          <t>달과 별</t>
        </is>
      </c>
      <c r="C75" t="inlineStr">
        <is>
          <t>moon_bedroom</t>
        </is>
      </c>
      <c r="D75" t="inlineStr">
        <is>
          <t>벽지</t>
        </is>
      </c>
      <c r="E75" t="inlineStr">
        <is>
          <t>벽지/바닥</t>
        </is>
      </c>
      <c r="F75" t="n">
        <v>400</v>
      </c>
      <c r="G75" t="n">
        <v>8</v>
      </c>
      <c r="H75">
        <f>IF(F75=0,"기본 지급",ROUND(F75/$B$1,1))</f>
        <v/>
      </c>
      <c r="I75" t="inlineStr"/>
      <c r="J75" t="inlineStr">
        <is>
          <t>room-assets-v6</t>
        </is>
      </c>
    </row>
    <row r="76">
      <c r="A76" t="inlineStr">
        <is>
          <t>counter_register</t>
        </is>
      </c>
      <c r="B76" t="inlineStr">
        <is>
          <t>계산대</t>
        </is>
      </c>
      <c r="C76" t="inlineStr">
        <is>
          <t>cat_cafe</t>
        </is>
      </c>
      <c r="D76" t="inlineStr">
        <is>
          <t>가구</t>
        </is>
      </c>
      <c r="E76" t="inlineStr">
        <is>
          <t>큰/테마 대표 가구</t>
        </is>
      </c>
      <c r="F76" t="n">
        <v>550</v>
      </c>
      <c r="G76" t="n">
        <v>25</v>
      </c>
      <c r="H76">
        <f>IF(F76=0,"기본 지급",ROUND(F76/$B$1,1))</f>
        <v/>
      </c>
      <c r="I76" t="inlineStr"/>
      <c r="J76" t="inlineStr">
        <is>
          <t>room-assets-themes</t>
        </is>
      </c>
    </row>
    <row r="77">
      <c r="A77" t="inlineStr">
        <is>
          <t>espresso_counter</t>
        </is>
      </c>
      <c r="B77" t="inlineStr">
        <is>
          <t>에스프레소 머신</t>
        </is>
      </c>
      <c r="C77" t="inlineStr">
        <is>
          <t>cat_cafe</t>
        </is>
      </c>
      <c r="D77" t="inlineStr">
        <is>
          <t>가구</t>
        </is>
      </c>
      <c r="E77" t="inlineStr">
        <is>
          <t>큰/테마 대표 가구</t>
        </is>
      </c>
      <c r="F77" t="n">
        <v>600</v>
      </c>
      <c r="G77" t="n">
        <v>25</v>
      </c>
      <c r="H77">
        <f>IF(F77=0,"기본 지급",ROUND(F77/$B$1,1))</f>
        <v/>
      </c>
      <c r="I77" t="inlineStr"/>
      <c r="J77" t="inlineStr">
        <is>
          <t>room-assets-themes</t>
        </is>
      </c>
    </row>
    <row r="78">
      <c r="A78" t="inlineStr">
        <is>
          <t>cake_showcase</t>
        </is>
      </c>
      <c r="B78" t="inlineStr">
        <is>
          <t>케이크 쇼케이스</t>
        </is>
      </c>
      <c r="C78" t="inlineStr">
        <is>
          <t>cat_cafe</t>
        </is>
      </c>
      <c r="D78" t="inlineStr">
        <is>
          <t>가구</t>
        </is>
      </c>
      <c r="E78" t="inlineStr">
        <is>
          <t>큰/테마 대표 가구</t>
        </is>
      </c>
      <c r="F78" t="n">
        <v>520</v>
      </c>
      <c r="G78" t="n">
        <v>25</v>
      </c>
      <c r="H78">
        <f>IF(F78=0,"기본 지급",ROUND(F78/$B$1,1))</f>
        <v/>
      </c>
      <c r="I78" t="inlineStr"/>
      <c r="J78" t="inlineStr">
        <is>
          <t>room-assets-themes</t>
        </is>
      </c>
    </row>
    <row r="79">
      <c r="A79" t="inlineStr">
        <is>
          <t>cafe_table</t>
        </is>
      </c>
      <c r="B79" t="inlineStr">
        <is>
          <t>원형 카페 테이블</t>
        </is>
      </c>
      <c r="C79" t="inlineStr">
        <is>
          <t>cat_cafe</t>
        </is>
      </c>
      <c r="D79" t="inlineStr">
        <is>
          <t>가구</t>
        </is>
      </c>
      <c r="E79" t="inlineStr">
        <is>
          <t>일반 가구</t>
        </is>
      </c>
      <c r="F79" t="n">
        <v>240</v>
      </c>
      <c r="G79" t="n">
        <v>10</v>
      </c>
      <c r="H79">
        <f>IF(F79=0,"기본 지급",ROUND(F79/$B$1,1))</f>
        <v/>
      </c>
      <c r="I79" t="inlineStr">
        <is>
          <t>roomUnlockGift:cat_cafe</t>
        </is>
      </c>
      <c r="J79" t="inlineStr">
        <is>
          <t>room-assets-themes</t>
        </is>
      </c>
    </row>
    <row r="80">
      <c r="A80" t="inlineStr">
        <is>
          <t>heart_chair</t>
        </is>
      </c>
      <c r="B80" t="inlineStr">
        <is>
          <t>하트 의자</t>
        </is>
      </c>
      <c r="C80" t="inlineStr">
        <is>
          <t>cat_cafe</t>
        </is>
      </c>
      <c r="D80" t="inlineStr">
        <is>
          <t>가구</t>
        </is>
      </c>
      <c r="E80" t="inlineStr">
        <is>
          <t>일반 가구</t>
        </is>
      </c>
      <c r="F80" t="n">
        <v>200</v>
      </c>
      <c r="G80" t="n">
        <v>10</v>
      </c>
      <c r="H80">
        <f>IF(F80=0,"기본 지급",ROUND(F80/$B$1,1))</f>
        <v/>
      </c>
      <c r="I80" t="inlineStr">
        <is>
          <t>roomUnlockGift:cat_cafe</t>
        </is>
      </c>
      <c r="J80" t="inlineStr">
        <is>
          <t>room-assets-themes</t>
        </is>
      </c>
    </row>
    <row r="81">
      <c r="A81" t="inlineStr">
        <is>
          <t>bar_stool</t>
        </is>
      </c>
      <c r="B81" t="inlineStr">
        <is>
          <t>바 스툴</t>
        </is>
      </c>
      <c r="C81" t="inlineStr">
        <is>
          <t>cat_cafe</t>
        </is>
      </c>
      <c r="D81" t="inlineStr">
        <is>
          <t>가구</t>
        </is>
      </c>
      <c r="E81" t="inlineStr">
        <is>
          <t>일반 가구</t>
        </is>
      </c>
      <c r="F81" t="n">
        <v>200</v>
      </c>
      <c r="G81" t="n">
        <v>10</v>
      </c>
      <c r="H81">
        <f>IF(F81=0,"기본 지급",ROUND(F81/$B$1,1))</f>
        <v/>
      </c>
      <c r="I81" t="inlineStr"/>
      <c r="J81" t="inlineStr">
        <is>
          <t>room-assets-themes</t>
        </is>
      </c>
    </row>
    <row r="82">
      <c r="A82" t="inlineStr">
        <is>
          <t>chalk_stand</t>
        </is>
      </c>
      <c r="B82" t="inlineStr">
        <is>
          <t>칠판 입간판</t>
        </is>
      </c>
      <c r="C82" t="inlineStr">
        <is>
          <t>cat_cafe</t>
        </is>
      </c>
      <c r="D82" t="inlineStr">
        <is>
          <t>소품</t>
        </is>
      </c>
      <c r="E82" t="inlineStr">
        <is>
          <t>작은 소품</t>
        </is>
      </c>
      <c r="F82" t="n">
        <v>80</v>
      </c>
      <c r="G82" t="n">
        <v>4</v>
      </c>
      <c r="H82">
        <f>IF(F82=0,"기본 지급",ROUND(F82/$B$1,1))</f>
        <v/>
      </c>
      <c r="I82" t="inlineStr">
        <is>
          <t>roomUnlockGift:cat_cafe</t>
        </is>
      </c>
      <c r="J82" t="inlineStr">
        <is>
          <t>room-assets-themes</t>
        </is>
      </c>
    </row>
    <row r="83">
      <c r="A83" t="inlineStr">
        <is>
          <t>bread_rack</t>
        </is>
      </c>
      <c r="B83" t="inlineStr">
        <is>
          <t>빵 진열대</t>
        </is>
      </c>
      <c r="C83" t="inlineStr">
        <is>
          <t>cat_cafe</t>
        </is>
      </c>
      <c r="D83" t="inlineStr">
        <is>
          <t>가구</t>
        </is>
      </c>
      <c r="E83" t="inlineStr">
        <is>
          <t>일반 가구</t>
        </is>
      </c>
      <c r="F83" t="n">
        <v>320</v>
      </c>
      <c r="G83" t="n">
        <v>10</v>
      </c>
      <c r="H83">
        <f>IF(F83=0,"기본 지급",ROUND(F83/$B$1,1))</f>
        <v/>
      </c>
      <c r="I83" t="inlineStr"/>
      <c r="J83" t="inlineStr">
        <is>
          <t>room-assets-themes</t>
        </is>
      </c>
    </row>
    <row r="84">
      <c r="A84" t="inlineStr">
        <is>
          <t>bean_sack</t>
        </is>
      </c>
      <c r="B84" t="inlineStr">
        <is>
          <t>커피콩 자루</t>
        </is>
      </c>
      <c r="C84" t="inlineStr">
        <is>
          <t>cat_cafe</t>
        </is>
      </c>
      <c r="D84" t="inlineStr">
        <is>
          <t>소품</t>
        </is>
      </c>
      <c r="E84" t="inlineStr">
        <is>
          <t>작은 소품</t>
        </is>
      </c>
      <c r="F84" t="n">
        <v>80</v>
      </c>
      <c r="G84" t="n">
        <v>4</v>
      </c>
      <c r="H84">
        <f>IF(F84=0,"기본 지급",ROUND(F84/$B$1,1))</f>
        <v/>
      </c>
      <c r="I84" t="inlineStr"/>
      <c r="J84" t="inlineStr">
        <is>
          <t>room-assets-themes</t>
        </is>
      </c>
    </row>
    <row r="85">
      <c r="A85" t="inlineStr">
        <is>
          <t>olive_tree</t>
        </is>
      </c>
      <c r="B85" t="inlineStr">
        <is>
          <t>올리브 나무</t>
        </is>
      </c>
      <c r="C85" t="inlineStr">
        <is>
          <t>cat_cafe</t>
        </is>
      </c>
      <c r="D85" t="inlineStr">
        <is>
          <t>소품</t>
        </is>
      </c>
      <c r="E85" t="inlineStr">
        <is>
          <t>작은 소품</t>
        </is>
      </c>
      <c r="F85" t="n">
        <v>150</v>
      </c>
      <c r="G85" t="n">
        <v>4</v>
      </c>
      <c r="H85">
        <f>IF(F85=0,"기본 지급",ROUND(F85/$B$1,1))</f>
        <v/>
      </c>
      <c r="I85" t="inlineStr"/>
      <c r="J85" t="inlineStr">
        <is>
          <t>room-assets-themes</t>
        </is>
      </c>
    </row>
    <row r="86">
      <c r="A86" t="inlineStr">
        <is>
          <t>cup_cattower</t>
        </is>
      </c>
      <c r="B86" t="inlineStr">
        <is>
          <t>컵 캣타워</t>
        </is>
      </c>
      <c r="C86" t="inlineStr">
        <is>
          <t>cat_cafe</t>
        </is>
      </c>
      <c r="D86" t="inlineStr">
        <is>
          <t>가구</t>
        </is>
      </c>
      <c r="E86" t="inlineStr">
        <is>
          <t>큰/테마 대표 가구</t>
        </is>
      </c>
      <c r="F86" t="n">
        <v>650</v>
      </c>
      <c r="G86" t="n">
        <v>25</v>
      </c>
      <c r="H86">
        <f>IF(F86=0,"기본 지급",ROUND(F86/$B$1,1))</f>
        <v/>
      </c>
      <c r="I86" t="inlineStr"/>
      <c r="J86" t="inlineStr">
        <is>
          <t>room-assets-themes</t>
        </is>
      </c>
    </row>
    <row r="87">
      <c r="A87" t="inlineStr">
        <is>
          <t>window_bench</t>
        </is>
      </c>
      <c r="B87" t="inlineStr">
        <is>
          <t>창가 벤치 소파</t>
        </is>
      </c>
      <c r="C87" t="inlineStr">
        <is>
          <t>cat_cafe</t>
        </is>
      </c>
      <c r="D87" t="inlineStr">
        <is>
          <t>가구</t>
        </is>
      </c>
      <c r="E87" t="inlineStr">
        <is>
          <t>큰/테마 대표 가구</t>
        </is>
      </c>
      <c r="F87" t="n">
        <v>600</v>
      </c>
      <c r="G87" t="n">
        <v>25</v>
      </c>
      <c r="H87">
        <f>IF(F87=0,"기본 지급",ROUND(F87/$B$1,1))</f>
        <v/>
      </c>
      <c r="I87" t="inlineStr"/>
      <c r="J87" t="inlineStr">
        <is>
          <t>room-assets-themes</t>
        </is>
      </c>
    </row>
    <row r="88">
      <c r="A88" t="inlineStr">
        <is>
          <t>mug_cart</t>
        </is>
      </c>
      <c r="B88" t="inlineStr">
        <is>
          <t>머그 카트</t>
        </is>
      </c>
      <c r="C88" t="inlineStr">
        <is>
          <t>cat_cafe</t>
        </is>
      </c>
      <c r="D88" t="inlineStr">
        <is>
          <t>가구</t>
        </is>
      </c>
      <c r="E88" t="inlineStr">
        <is>
          <t>일반 가구</t>
        </is>
      </c>
      <c r="F88" t="n">
        <v>280</v>
      </c>
      <c r="G88" t="n">
        <v>10</v>
      </c>
      <c r="H88">
        <f>IF(F88=0,"기본 지급",ROUND(F88/$B$1,1))</f>
        <v/>
      </c>
      <c r="I88" t="inlineStr"/>
      <c r="J88" t="inlineStr">
        <is>
          <t>room-assets-themes</t>
        </is>
      </c>
    </row>
    <row r="89">
      <c r="A89" t="inlineStr">
        <is>
          <t>cookie_jar</t>
        </is>
      </c>
      <c r="B89" t="inlineStr">
        <is>
          <t>쿠키 병</t>
        </is>
      </c>
      <c r="C89" t="inlineStr">
        <is>
          <t>cat_cafe</t>
        </is>
      </c>
      <c r="D89" t="inlineStr">
        <is>
          <t>소품</t>
        </is>
      </c>
      <c r="E89" t="inlineStr">
        <is>
          <t>작은 소품</t>
        </is>
      </c>
      <c r="F89" t="n">
        <v>80</v>
      </c>
      <c r="G89" t="n">
        <v>4</v>
      </c>
      <c r="H89">
        <f>IF(F89=0,"기본 지급",ROUND(F89/$B$1,1))</f>
        <v/>
      </c>
      <c r="I89" t="inlineStr"/>
      <c r="J89" t="inlineStr">
        <is>
          <t>room-assets-themes</t>
        </is>
      </c>
    </row>
    <row r="90">
      <c r="A90" t="inlineStr">
        <is>
          <t>catface_lamp</t>
        </is>
      </c>
      <c r="B90" t="inlineStr">
        <is>
          <t>냥이 얼굴 조명</t>
        </is>
      </c>
      <c r="C90" t="inlineStr">
        <is>
          <t>cat_cafe</t>
        </is>
      </c>
      <c r="D90" t="inlineStr">
        <is>
          <t>소품</t>
        </is>
      </c>
      <c r="E90" t="inlineStr">
        <is>
          <t>작은 소품</t>
        </is>
      </c>
      <c r="F90" t="n">
        <v>140</v>
      </c>
      <c r="G90" t="n">
        <v>4</v>
      </c>
      <c r="H90">
        <f>IF(F90=0,"기본 지급",ROUND(F90/$B$1,1))</f>
        <v/>
      </c>
      <c r="I90" t="inlineStr"/>
      <c r="J90" t="inlineStr">
        <is>
          <t>room-assets-themes</t>
        </is>
      </c>
    </row>
    <row r="91">
      <c r="A91" t="inlineStr">
        <is>
          <t>food_vending</t>
        </is>
      </c>
      <c r="B91" t="inlineStr">
        <is>
          <t>간식 자판기</t>
        </is>
      </c>
      <c r="C91" t="inlineStr">
        <is>
          <t>cat_cafe</t>
        </is>
      </c>
      <c r="D91" t="inlineStr">
        <is>
          <t>가구</t>
        </is>
      </c>
      <c r="E91" t="inlineStr">
        <is>
          <t>큰/테마 대표 가구</t>
        </is>
      </c>
      <c r="F91" t="n">
        <v>500</v>
      </c>
      <c r="G91" t="n">
        <v>25</v>
      </c>
      <c r="H91">
        <f>IF(F91=0,"기본 지급",ROUND(F91/$B$1,1))</f>
        <v/>
      </c>
      <c r="I91" t="inlineStr"/>
      <c r="J91" t="inlineStr">
        <is>
          <t>room-assets-themes</t>
        </is>
      </c>
    </row>
    <row r="92">
      <c r="A92" t="inlineStr">
        <is>
          <t>sakura_tree</t>
        </is>
      </c>
      <c r="B92" t="inlineStr">
        <is>
          <t>벚꽃 나무</t>
        </is>
      </c>
      <c r="C92" t="inlineStr">
        <is>
          <t>sakura_greenhouse</t>
        </is>
      </c>
      <c r="D92" t="inlineStr">
        <is>
          <t>가구</t>
        </is>
      </c>
      <c r="E92" t="inlineStr">
        <is>
          <t>큰/테마 대표 가구</t>
        </is>
      </c>
      <c r="F92" t="n">
        <v>900</v>
      </c>
      <c r="G92" t="n">
        <v>25</v>
      </c>
      <c r="H92">
        <f>IF(F92=0,"기본 지급",ROUND(F92/$B$1,1))</f>
        <v/>
      </c>
      <c r="I92" t="inlineStr"/>
      <c r="J92" t="inlineStr">
        <is>
          <t>room-assets-themes</t>
        </is>
      </c>
    </row>
    <row r="93">
      <c r="A93" t="inlineStr">
        <is>
          <t>garden_bench</t>
        </is>
      </c>
      <c r="B93" t="inlineStr">
        <is>
          <t>화이트 정원 벤치</t>
        </is>
      </c>
      <c r="C93" t="inlineStr">
        <is>
          <t>sakura_greenhouse</t>
        </is>
      </c>
      <c r="D93" t="inlineStr">
        <is>
          <t>가구</t>
        </is>
      </c>
      <c r="E93" t="inlineStr">
        <is>
          <t>큰/테마 대표 가구</t>
        </is>
      </c>
      <c r="F93" t="n">
        <v>500</v>
      </c>
      <c r="G93" t="n">
        <v>25</v>
      </c>
      <c r="H93">
        <f>IF(F93=0,"기본 지급",ROUND(F93/$B$1,1))</f>
        <v/>
      </c>
      <c r="I93" t="inlineStr"/>
      <c r="J93" t="inlineStr">
        <is>
          <t>room-assets-themes</t>
        </is>
      </c>
    </row>
    <row r="94">
      <c r="A94" t="inlineStr">
        <is>
          <t>koi_pond</t>
        </is>
      </c>
      <c r="B94" t="inlineStr">
        <is>
          <t>잉어 연못</t>
        </is>
      </c>
      <c r="C94" t="inlineStr">
        <is>
          <t>sakura_greenhouse</t>
        </is>
      </c>
      <c r="D94" t="inlineStr">
        <is>
          <t>가구</t>
        </is>
      </c>
      <c r="E94" t="inlineStr">
        <is>
          <t>큰/테마 대표 가구</t>
        </is>
      </c>
      <c r="F94" t="n">
        <v>800</v>
      </c>
      <c r="G94" t="n">
        <v>25</v>
      </c>
      <c r="H94">
        <f>IF(F94=0,"기본 지급",ROUND(F94/$B$1,1))</f>
        <v/>
      </c>
      <c r="I94" t="inlineStr"/>
      <c r="J94" t="inlineStr">
        <is>
          <t>room-assets-themes</t>
        </is>
      </c>
    </row>
    <row r="95">
      <c r="A95" t="inlineStr">
        <is>
          <t>tulip_planter</t>
        </is>
      </c>
      <c r="B95" t="inlineStr">
        <is>
          <t>튤립 화분상자</t>
        </is>
      </c>
      <c r="C95" t="inlineStr">
        <is>
          <t>sakura_greenhouse</t>
        </is>
      </c>
      <c r="D95" t="inlineStr">
        <is>
          <t>소품</t>
        </is>
      </c>
      <c r="E95" t="inlineStr">
        <is>
          <t>작은 소품</t>
        </is>
      </c>
      <c r="F95" t="n">
        <v>110</v>
      </c>
      <c r="G95" t="n">
        <v>4</v>
      </c>
      <c r="H95">
        <f>IF(F95=0,"기본 지급",ROUND(F95/$B$1,1))</f>
        <v/>
      </c>
      <c r="I95" t="inlineStr">
        <is>
          <t>roomUnlockGift:sakura_greenhouse</t>
        </is>
      </c>
      <c r="J95" t="inlineStr">
        <is>
          <t>room-assets-themes</t>
        </is>
      </c>
    </row>
    <row r="96">
      <c r="A96" t="inlineStr">
        <is>
          <t>tea_table_white</t>
        </is>
      </c>
      <c r="B96" t="inlineStr">
        <is>
          <t>화이트 티테이블</t>
        </is>
      </c>
      <c r="C96" t="inlineStr">
        <is>
          <t>sakura_greenhouse</t>
        </is>
      </c>
      <c r="D96" t="inlineStr">
        <is>
          <t>가구</t>
        </is>
      </c>
      <c r="E96" t="inlineStr">
        <is>
          <t>일반 가구</t>
        </is>
      </c>
      <c r="F96" t="n">
        <v>220</v>
      </c>
      <c r="G96" t="n">
        <v>10</v>
      </c>
      <c r="H96">
        <f>IF(F96=0,"기본 지급",ROUND(F96/$B$1,1))</f>
        <v/>
      </c>
      <c r="I96" t="inlineStr">
        <is>
          <t>roomUnlockGift:sakura_greenhouse</t>
        </is>
      </c>
      <c r="J96" t="inlineStr">
        <is>
          <t>room-assets-themes</t>
        </is>
      </c>
    </row>
    <row r="97">
      <c r="A97" t="inlineStr">
        <is>
          <t>garden_swing</t>
        </is>
      </c>
      <c r="B97" t="inlineStr">
        <is>
          <t>정원 그네</t>
        </is>
      </c>
      <c r="C97" t="inlineStr">
        <is>
          <t>sakura_greenhouse</t>
        </is>
      </c>
      <c r="D97" t="inlineStr">
        <is>
          <t>가구</t>
        </is>
      </c>
      <c r="E97" t="inlineStr">
        <is>
          <t>큰/테마 대표 가구</t>
        </is>
      </c>
      <c r="F97" t="n">
        <v>700</v>
      </c>
      <c r="G97" t="n">
        <v>25</v>
      </c>
      <c r="H97">
        <f>IF(F97=0,"기본 지급",ROUND(F97/$B$1,1))</f>
        <v/>
      </c>
      <c r="I97" t="inlineStr"/>
      <c r="J97" t="inlineStr">
        <is>
          <t>room-assets-themes</t>
        </is>
      </c>
    </row>
    <row r="98">
      <c r="A98" t="inlineStr">
        <is>
          <t>watering_can</t>
        </is>
      </c>
      <c r="B98" t="inlineStr">
        <is>
          <t>물뿌리개</t>
        </is>
      </c>
      <c r="C98" t="inlineStr">
        <is>
          <t>sakura_greenhouse</t>
        </is>
      </c>
      <c r="D98" t="inlineStr">
        <is>
          <t>소품</t>
        </is>
      </c>
      <c r="E98" t="inlineStr">
        <is>
          <t>작은 소품</t>
        </is>
      </c>
      <c r="F98" t="n">
        <v>80</v>
      </c>
      <c r="G98" t="n">
        <v>4</v>
      </c>
      <c r="H98">
        <f>IF(F98=0,"기본 지급",ROUND(F98/$B$1,1))</f>
        <v/>
      </c>
      <c r="I98" t="inlineStr">
        <is>
          <t>roomUnlockGift:sakura_greenhouse</t>
        </is>
      </c>
      <c r="J98" t="inlineStr">
        <is>
          <t>room-assets-themes</t>
        </is>
      </c>
    </row>
    <row r="99">
      <c r="A99" t="inlineStr">
        <is>
          <t>stone_lantern</t>
        </is>
      </c>
      <c r="B99" t="inlineStr">
        <is>
          <t>돌 등롱</t>
        </is>
      </c>
      <c r="C99" t="inlineStr">
        <is>
          <t>sakura_greenhouse</t>
        </is>
      </c>
      <c r="D99" t="inlineStr">
        <is>
          <t>소품</t>
        </is>
      </c>
      <c r="E99" t="inlineStr">
        <is>
          <t>작은 소품</t>
        </is>
      </c>
      <c r="F99" t="n">
        <v>150</v>
      </c>
      <c r="G99" t="n">
        <v>4</v>
      </c>
      <c r="H99">
        <f>IF(F99=0,"기본 지급",ROUND(F99/$B$1,1))</f>
        <v/>
      </c>
      <c r="I99" t="inlineStr"/>
      <c r="J99" t="inlineStr">
        <is>
          <t>room-assets-themes</t>
        </is>
      </c>
    </row>
    <row r="100">
      <c r="A100" t="inlineStr">
        <is>
          <t>flower_wheelbarrow</t>
        </is>
      </c>
      <c r="B100" t="inlineStr">
        <is>
          <t>꽃 수레</t>
        </is>
      </c>
      <c r="C100" t="inlineStr">
        <is>
          <t>sakura_greenhouse</t>
        </is>
      </c>
      <c r="D100" t="inlineStr">
        <is>
          <t>소품</t>
        </is>
      </c>
      <c r="E100" t="inlineStr">
        <is>
          <t>작은 소품</t>
        </is>
      </c>
      <c r="F100" t="n">
        <v>150</v>
      </c>
      <c r="G100" t="n">
        <v>4</v>
      </c>
      <c r="H100">
        <f>IF(F100=0,"기본 지급",ROUND(F100/$B$1,1))</f>
        <v/>
      </c>
      <c r="I100" t="inlineStr"/>
      <c r="J100" t="inlineStr">
        <is>
          <t>room-assets-themes</t>
        </is>
      </c>
    </row>
    <row r="101">
      <c r="A101" t="inlineStr">
        <is>
          <t>hydrangea</t>
        </is>
      </c>
      <c r="B101" t="inlineStr">
        <is>
          <t>수국 화분</t>
        </is>
      </c>
      <c r="C101" t="inlineStr">
        <is>
          <t>sakura_greenhouse</t>
        </is>
      </c>
      <c r="D101" t="inlineStr">
        <is>
          <t>소품</t>
        </is>
      </c>
      <c r="E101" t="inlineStr">
        <is>
          <t>작은 소품</t>
        </is>
      </c>
      <c r="F101" t="n">
        <v>110</v>
      </c>
      <c r="G101" t="n">
        <v>4</v>
      </c>
      <c r="H101">
        <f>IF(F101=0,"기본 지급",ROUND(F101/$B$1,1))</f>
        <v/>
      </c>
      <c r="I101" t="inlineStr"/>
      <c r="J101" t="inlineStr">
        <is>
          <t>room-assets-themes</t>
        </is>
      </c>
    </row>
    <row r="102">
      <c r="A102" t="inlineStr">
        <is>
          <t>bird_bath</t>
        </is>
      </c>
      <c r="B102" t="inlineStr">
        <is>
          <t>새 물그릇</t>
        </is>
      </c>
      <c r="C102" t="inlineStr">
        <is>
          <t>sakura_greenhouse</t>
        </is>
      </c>
      <c r="D102" t="inlineStr">
        <is>
          <t>소품</t>
        </is>
      </c>
      <c r="E102" t="inlineStr">
        <is>
          <t>작은 소품</t>
        </is>
      </c>
      <c r="F102" t="n">
        <v>130</v>
      </c>
      <c r="G102" t="n">
        <v>4</v>
      </c>
      <c r="H102">
        <f>IF(F102=0,"기본 지급",ROUND(F102/$B$1,1))</f>
        <v/>
      </c>
      <c r="I102" t="inlineStr"/>
      <c r="J102" t="inlineStr">
        <is>
          <t>room-assets-themes</t>
        </is>
      </c>
    </row>
    <row r="103">
      <c r="A103" t="inlineStr">
        <is>
          <t>picnic_blanket</t>
        </is>
      </c>
      <c r="B103" t="inlineStr">
        <is>
          <t>피크닉 매트</t>
        </is>
      </c>
      <c r="C103" t="inlineStr">
        <is>
          <t>sakura_greenhouse</t>
        </is>
      </c>
      <c r="D103" t="inlineStr">
        <is>
          <t>가구</t>
        </is>
      </c>
      <c r="E103" t="inlineStr">
        <is>
          <t>일반 가구</t>
        </is>
      </c>
      <c r="F103" t="n">
        <v>300</v>
      </c>
      <c r="G103" t="n">
        <v>10</v>
      </c>
      <c r="H103">
        <f>IF(F103=0,"기본 지급",ROUND(F103/$B$1,1))</f>
        <v/>
      </c>
      <c r="I103" t="inlineStr"/>
      <c r="J103" t="inlineStr">
        <is>
          <t>room-assets-themes</t>
        </is>
      </c>
    </row>
    <row r="104">
      <c r="A104" t="inlineStr">
        <is>
          <t>mini_bridge</t>
        </is>
      </c>
      <c r="B104" t="inlineStr">
        <is>
          <t>미니 다리</t>
        </is>
      </c>
      <c r="C104" t="inlineStr">
        <is>
          <t>sakura_greenhouse</t>
        </is>
      </c>
      <c r="D104" t="inlineStr">
        <is>
          <t>가구</t>
        </is>
      </c>
      <c r="E104" t="inlineStr">
        <is>
          <t>큰/테마 대표 가구</t>
        </is>
      </c>
      <c r="F104" t="n">
        <v>550</v>
      </c>
      <c r="G104" t="n">
        <v>25</v>
      </c>
      <c r="H104">
        <f>IF(F104=0,"기본 지급",ROUND(F104/$B$1,1))</f>
        <v/>
      </c>
      <c r="I104" t="inlineStr"/>
      <c r="J104" t="inlineStr">
        <is>
          <t>room-assets-themes</t>
        </is>
      </c>
    </row>
    <row r="105">
      <c r="A105" t="inlineStr">
        <is>
          <t>flower_arch</t>
        </is>
      </c>
      <c r="B105" t="inlineStr">
        <is>
          <t>꽃 아치</t>
        </is>
      </c>
      <c r="C105" t="inlineStr">
        <is>
          <t>sakura_greenhouse</t>
        </is>
      </c>
      <c r="D105" t="inlineStr">
        <is>
          <t>가구</t>
        </is>
      </c>
      <c r="E105" t="inlineStr">
        <is>
          <t>일반 가구</t>
        </is>
      </c>
      <c r="F105" t="n">
        <v>320</v>
      </c>
      <c r="G105" t="n">
        <v>10</v>
      </c>
      <c r="H105">
        <f>IF(F105=0,"기본 지급",ROUND(F105/$B$1,1))</f>
        <v/>
      </c>
      <c r="I105" t="inlineStr"/>
      <c r="J105" t="inlineStr">
        <is>
          <t>room-assets-themes</t>
        </is>
      </c>
    </row>
    <row r="106">
      <c r="A106" t="inlineStr">
        <is>
          <t>cat_hammock</t>
        </is>
      </c>
      <c r="B106" t="inlineStr">
        <is>
          <t>냥이 해먹</t>
        </is>
      </c>
      <c r="C106" t="inlineStr">
        <is>
          <t>sakura_greenhouse</t>
        </is>
      </c>
      <c r="D106" t="inlineStr">
        <is>
          <t>가구</t>
        </is>
      </c>
      <c r="E106" t="inlineStr">
        <is>
          <t>큰/테마 대표 가구</t>
        </is>
      </c>
      <c r="F106" t="n">
        <v>600</v>
      </c>
      <c r="G106" t="n">
        <v>25</v>
      </c>
      <c r="H106">
        <f>IF(F106=0,"기본 지급",ROUND(F106/$B$1,1))</f>
        <v/>
      </c>
      <c r="I106" t="inlineStr"/>
      <c r="J106" t="inlineStr">
        <is>
          <t>room-assets-themes</t>
        </is>
      </c>
    </row>
    <row r="107">
      <c r="A107" t="inlineStr">
        <is>
          <t>succulent_stand</t>
        </is>
      </c>
      <c r="B107" t="inlineStr">
        <is>
          <t>다육이 선반</t>
        </is>
      </c>
      <c r="C107" t="inlineStr">
        <is>
          <t>sakura_greenhouse</t>
        </is>
      </c>
      <c r="D107" t="inlineStr">
        <is>
          <t>소품</t>
        </is>
      </c>
      <c r="E107" t="inlineStr">
        <is>
          <t>작은 소품</t>
        </is>
      </c>
      <c r="F107" t="n">
        <v>120</v>
      </c>
      <c r="G107" t="n">
        <v>4</v>
      </c>
      <c r="H107">
        <f>IF(F107=0,"기본 지급",ROUND(F107/$B$1,1))</f>
        <v/>
      </c>
      <c r="I107" t="inlineStr"/>
      <c r="J107" t="inlineStr">
        <is>
          <t>room-assets-themes</t>
        </is>
      </c>
    </row>
    <row r="108">
      <c r="A108" t="inlineStr">
        <is>
          <t>menu_board</t>
        </is>
      </c>
      <c r="B108" t="inlineStr">
        <is>
          <t>메뉴 보드</t>
        </is>
      </c>
      <c r="C108" t="inlineStr">
        <is>
          <t>cat_cafe</t>
        </is>
      </c>
      <c r="D108" t="inlineStr">
        <is>
          <t>벽 꾸미기</t>
        </is>
      </c>
      <c r="E108" t="inlineStr">
        <is>
          <t>벽 꾸미기</t>
        </is>
      </c>
      <c r="F108" t="n">
        <v>160</v>
      </c>
      <c r="G108" t="n">
        <v>6</v>
      </c>
      <c r="H108">
        <f>IF(F108=0,"기본 지급",ROUND(F108/$B$1,1))</f>
        <v/>
      </c>
      <c r="I108" t="inlineStr">
        <is>
          <t>roomUnlockGift:cat_cafe</t>
        </is>
      </c>
      <c r="J108" t="inlineStr">
        <is>
          <t>room-assets-themes</t>
        </is>
      </c>
    </row>
    <row r="109">
      <c r="A109" t="inlineStr">
        <is>
          <t>cat_clock_cafe</t>
        </is>
      </c>
      <c r="B109" t="inlineStr">
        <is>
          <t>냥이 벽시계</t>
        </is>
      </c>
      <c r="C109" t="inlineStr">
        <is>
          <t>cat_cafe</t>
        </is>
      </c>
      <c r="D109" t="inlineStr">
        <is>
          <t>벽 꾸미기</t>
        </is>
      </c>
      <c r="E109" t="inlineStr">
        <is>
          <t>벽 꾸미기</t>
        </is>
      </c>
      <c r="F109" t="n">
        <v>180</v>
      </c>
      <c r="G109" t="n">
        <v>6</v>
      </c>
      <c r="H109">
        <f>IF(F109=0,"기본 지급",ROUND(F109/$B$1,1))</f>
        <v/>
      </c>
      <c r="I109" t="inlineStr"/>
      <c r="J109" t="inlineStr">
        <is>
          <t>room-assets-themes</t>
        </is>
      </c>
    </row>
    <row r="110">
      <c r="A110" t="inlineStr">
        <is>
          <t>mug_shelf</t>
        </is>
      </c>
      <c r="B110" t="inlineStr">
        <is>
          <t>머그 선반</t>
        </is>
      </c>
      <c r="C110" t="inlineStr">
        <is>
          <t>cat_cafe</t>
        </is>
      </c>
      <c r="D110" t="inlineStr">
        <is>
          <t>벽 꾸미기</t>
        </is>
      </c>
      <c r="E110" t="inlineStr">
        <is>
          <t>벽 꾸미기</t>
        </is>
      </c>
      <c r="F110" t="n">
        <v>140</v>
      </c>
      <c r="G110" t="n">
        <v>6</v>
      </c>
      <c r="H110">
        <f>IF(F110=0,"기본 지급",ROUND(F110/$B$1,1))</f>
        <v/>
      </c>
      <c r="I110" t="inlineStr"/>
      <c r="J110" t="inlineStr">
        <is>
          <t>room-assets-themes</t>
        </is>
      </c>
    </row>
    <row r="111">
      <c r="A111" t="inlineStr">
        <is>
          <t>pendant_lamps</t>
        </is>
      </c>
      <c r="B111" t="inlineStr">
        <is>
          <t>펜던트 조명</t>
        </is>
      </c>
      <c r="C111" t="inlineStr">
        <is>
          <t>cat_cafe</t>
        </is>
      </c>
      <c r="D111" t="inlineStr">
        <is>
          <t>벽 꾸미기</t>
        </is>
      </c>
      <c r="E111" t="inlineStr">
        <is>
          <t>벽 꾸미기</t>
        </is>
      </c>
      <c r="F111" t="n">
        <v>220</v>
      </c>
      <c r="G111" t="n">
        <v>6</v>
      </c>
      <c r="H111">
        <f>IF(F111=0,"기본 지급",ROUND(F111/$B$1,1))</f>
        <v/>
      </c>
      <c r="I111" t="inlineStr"/>
      <c r="J111" t="inlineStr">
        <is>
          <t>room-assets-themes</t>
        </is>
      </c>
    </row>
    <row r="112">
      <c r="A112" t="inlineStr">
        <is>
          <t>cup_neon</t>
        </is>
      </c>
      <c r="B112" t="inlineStr">
        <is>
          <t>커피잔 네온</t>
        </is>
      </c>
      <c r="C112" t="inlineStr">
        <is>
          <t>cat_cafe</t>
        </is>
      </c>
      <c r="D112" t="inlineStr">
        <is>
          <t>벽 꾸미기</t>
        </is>
      </c>
      <c r="E112" t="inlineStr">
        <is>
          <t>벽 꾸미기</t>
        </is>
      </c>
      <c r="F112" t="n">
        <v>240</v>
      </c>
      <c r="G112" t="n">
        <v>6</v>
      </c>
      <c r="H112">
        <f>IF(F112=0,"기본 지급",ROUND(F112/$B$1,1))</f>
        <v/>
      </c>
      <c r="I112" t="inlineStr"/>
      <c r="J112" t="inlineStr">
        <is>
          <t>room-assets-themes</t>
        </is>
      </c>
    </row>
    <row r="113">
      <c r="A113" t="inlineStr">
        <is>
          <t>awning</t>
        </is>
      </c>
      <c r="B113" t="inlineStr">
        <is>
          <t>줄무늬 차양</t>
        </is>
      </c>
      <c r="C113" t="inlineStr">
        <is>
          <t>cat_cafe</t>
        </is>
      </c>
      <c r="D113" t="inlineStr">
        <is>
          <t>벽 꾸미기</t>
        </is>
      </c>
      <c r="E113" t="inlineStr">
        <is>
          <t>벽 꾸미기</t>
        </is>
      </c>
      <c r="F113" t="n">
        <v>200</v>
      </c>
      <c r="G113" t="n">
        <v>6</v>
      </c>
      <c r="H113">
        <f>IF(F113=0,"기본 지급",ROUND(F113/$B$1,1))</f>
        <v/>
      </c>
      <c r="I113" t="inlineStr"/>
      <c r="J113" t="inlineStr">
        <is>
          <t>room-assets-themes</t>
        </is>
      </c>
    </row>
    <row r="114">
      <c r="A114" t="inlineStr">
        <is>
          <t>latte_art_frame</t>
        </is>
      </c>
      <c r="B114" t="inlineStr">
        <is>
          <t>라떼아트 액자</t>
        </is>
      </c>
      <c r="C114" t="inlineStr">
        <is>
          <t>cat_cafe</t>
        </is>
      </c>
      <c r="D114" t="inlineStr">
        <is>
          <t>벽 꾸미기</t>
        </is>
      </c>
      <c r="E114" t="inlineStr">
        <is>
          <t>벽 꾸미기</t>
        </is>
      </c>
      <c r="F114" t="n">
        <v>120</v>
      </c>
      <c r="G114" t="n">
        <v>6</v>
      </c>
      <c r="H114">
        <f>IF(F114=0,"기본 지급",ROUND(F114/$B$1,1))</f>
        <v/>
      </c>
      <c r="I114" t="inlineStr"/>
      <c r="J114" t="inlineStr">
        <is>
          <t>room-assets-themes</t>
        </is>
      </c>
    </row>
    <row r="115">
      <c r="A115" t="inlineStr">
        <is>
          <t>paw_garland</t>
        </is>
      </c>
      <c r="B115" t="inlineStr">
        <is>
          <t>발바닥 가랜드</t>
        </is>
      </c>
      <c r="C115" t="inlineStr">
        <is>
          <t>cat_cafe</t>
        </is>
      </c>
      <c r="D115" t="inlineStr">
        <is>
          <t>벽 꾸미기</t>
        </is>
      </c>
      <c r="E115" t="inlineStr">
        <is>
          <t>벽 꾸미기</t>
        </is>
      </c>
      <c r="F115" t="n">
        <v>110</v>
      </c>
      <c r="G115" t="n">
        <v>6</v>
      </c>
      <c r="H115">
        <f>IF(F115=0,"기본 지급",ROUND(F115/$B$1,1))</f>
        <v/>
      </c>
      <c r="I115" t="inlineStr"/>
      <c r="J115" t="inlineStr">
        <is>
          <t>room-assets-themes</t>
        </is>
      </c>
    </row>
    <row r="116">
      <c r="A116" t="inlineStr">
        <is>
          <t>greenhouse_window</t>
        </is>
      </c>
      <c r="B116" t="inlineStr">
        <is>
          <t>온실 아치창</t>
        </is>
      </c>
      <c r="C116" t="inlineStr">
        <is>
          <t>sakura_greenhouse</t>
        </is>
      </c>
      <c r="D116" t="inlineStr">
        <is>
          <t>벽 꾸미기</t>
        </is>
      </c>
      <c r="E116" t="inlineStr">
        <is>
          <t>벽 꾸미기</t>
        </is>
      </c>
      <c r="F116" t="n">
        <v>250</v>
      </c>
      <c r="G116" t="n">
        <v>6</v>
      </c>
      <c r="H116">
        <f>IF(F116=0,"기본 지급",ROUND(F116/$B$1,1))</f>
        <v/>
      </c>
      <c r="I116" t="inlineStr"/>
      <c r="J116" t="inlineStr">
        <is>
          <t>room-assets-themes</t>
        </is>
      </c>
    </row>
    <row r="117">
      <c r="A117" t="inlineStr">
        <is>
          <t>hanging_basket</t>
        </is>
      </c>
      <c r="B117" t="inlineStr">
        <is>
          <t>행잉 바스켓</t>
        </is>
      </c>
      <c r="C117" t="inlineStr">
        <is>
          <t>sakura_greenhouse</t>
        </is>
      </c>
      <c r="D117" t="inlineStr">
        <is>
          <t>벽 꾸미기</t>
        </is>
      </c>
      <c r="E117" t="inlineStr">
        <is>
          <t>벽 꾸미기</t>
        </is>
      </c>
      <c r="F117" t="n">
        <v>150</v>
      </c>
      <c r="G117" t="n">
        <v>6</v>
      </c>
      <c r="H117">
        <f>IF(F117=0,"기본 지급",ROUND(F117/$B$1,1))</f>
        <v/>
      </c>
      <c r="I117" t="inlineStr">
        <is>
          <t>roomUnlockGift:sakura_greenhouse</t>
        </is>
      </c>
      <c r="J117" t="inlineStr">
        <is>
          <t>room-assets-themes</t>
        </is>
      </c>
    </row>
    <row r="118">
      <c r="A118" t="inlineStr">
        <is>
          <t>ivy_garland</t>
        </is>
      </c>
      <c r="B118" t="inlineStr">
        <is>
          <t>아이비 가랜드</t>
        </is>
      </c>
      <c r="C118" t="inlineStr">
        <is>
          <t>sakura_greenhouse</t>
        </is>
      </c>
      <c r="D118" t="inlineStr">
        <is>
          <t>벽 꾸미기</t>
        </is>
      </c>
      <c r="E118" t="inlineStr">
        <is>
          <t>벽 꾸미기</t>
        </is>
      </c>
      <c r="F118" t="n">
        <v>120</v>
      </c>
      <c r="G118" t="n">
        <v>6</v>
      </c>
      <c r="H118">
        <f>IF(F118=0,"기본 지급",ROUND(F118/$B$1,1))</f>
        <v/>
      </c>
      <c r="I118" t="inlineStr"/>
      <c r="J118" t="inlineStr">
        <is>
          <t>room-assets-themes</t>
        </is>
      </c>
    </row>
    <row r="119">
      <c r="A119" t="inlineStr">
        <is>
          <t>bird_house</t>
        </is>
      </c>
      <c r="B119" t="inlineStr">
        <is>
          <t>새집</t>
        </is>
      </c>
      <c r="C119" t="inlineStr">
        <is>
          <t>sakura_greenhouse</t>
        </is>
      </c>
      <c r="D119" t="inlineStr">
        <is>
          <t>벽 꾸미기</t>
        </is>
      </c>
      <c r="E119" t="inlineStr">
        <is>
          <t>벽 꾸미기</t>
        </is>
      </c>
      <c r="F119" t="n">
        <v>130</v>
      </c>
      <c r="G119" t="n">
        <v>6</v>
      </c>
      <c r="H119">
        <f>IF(F119=0,"기본 지급",ROUND(F119/$B$1,1))</f>
        <v/>
      </c>
      <c r="I119" t="inlineStr"/>
      <c r="J119" t="inlineStr">
        <is>
          <t>room-assets-themes</t>
        </is>
      </c>
    </row>
    <row r="120">
      <c r="A120" t="inlineStr">
        <is>
          <t>sakura_branch</t>
        </is>
      </c>
      <c r="B120" t="inlineStr">
        <is>
          <t>벚꽃 가지</t>
        </is>
      </c>
      <c r="C120" t="inlineStr">
        <is>
          <t>sakura_greenhouse</t>
        </is>
      </c>
      <c r="D120" t="inlineStr">
        <is>
          <t>벽 꾸미기</t>
        </is>
      </c>
      <c r="E120" t="inlineStr">
        <is>
          <t>벽 꾸미기</t>
        </is>
      </c>
      <c r="F120" t="n">
        <v>180</v>
      </c>
      <c r="G120" t="n">
        <v>6</v>
      </c>
      <c r="H120">
        <f>IF(F120=0,"기본 지급",ROUND(F120/$B$1,1))</f>
        <v/>
      </c>
      <c r="I120" t="inlineStr"/>
      <c r="J120" t="inlineStr">
        <is>
          <t>room-assets-themes</t>
        </is>
      </c>
    </row>
    <row r="121">
      <c r="A121" t="inlineStr">
        <is>
          <t>tool_rack</t>
        </is>
      </c>
      <c r="B121" t="inlineStr">
        <is>
          <t>정원 도구걸이</t>
        </is>
      </c>
      <c r="C121" t="inlineStr">
        <is>
          <t>sakura_greenhouse</t>
        </is>
      </c>
      <c r="D121" t="inlineStr">
        <is>
          <t>벽 꾸미기</t>
        </is>
      </c>
      <c r="E121" t="inlineStr">
        <is>
          <t>벽 꾸미기</t>
        </is>
      </c>
      <c r="F121" t="n">
        <v>140</v>
      </c>
      <c r="G121" t="n">
        <v>6</v>
      </c>
      <c r="H121">
        <f>IF(F121=0,"기본 지급",ROUND(F121/$B$1,1))</f>
        <v/>
      </c>
      <c r="I121" t="inlineStr"/>
      <c r="J121" t="inlineStr">
        <is>
          <t>room-assets-themes</t>
        </is>
      </c>
    </row>
    <row r="122">
      <c r="A122" t="inlineStr">
        <is>
          <t>butterflies</t>
        </is>
      </c>
      <c r="B122" t="inlineStr">
        <is>
          <t>나비 장식</t>
        </is>
      </c>
      <c r="C122" t="inlineStr">
        <is>
          <t>sakura_greenhouse</t>
        </is>
      </c>
      <c r="D122" t="inlineStr">
        <is>
          <t>벽 꾸미기</t>
        </is>
      </c>
      <c r="E122" t="inlineStr">
        <is>
          <t>벽 꾸미기</t>
        </is>
      </c>
      <c r="F122" t="n">
        <v>100</v>
      </c>
      <c r="G122" t="n">
        <v>6</v>
      </c>
      <c r="H122">
        <f>IF(F122=0,"기본 지급",ROUND(F122/$B$1,1))</f>
        <v/>
      </c>
      <c r="I122" t="inlineStr"/>
      <c r="J122" t="inlineStr">
        <is>
          <t>room-assets-themes</t>
        </is>
      </c>
    </row>
    <row r="123">
      <c r="A123" t="inlineStr">
        <is>
          <t>flower_wreath</t>
        </is>
      </c>
      <c r="B123" t="inlineStr">
        <is>
          <t>꽃 리스</t>
        </is>
      </c>
      <c r="C123" t="inlineStr">
        <is>
          <t>sakura_greenhouse</t>
        </is>
      </c>
      <c r="D123" t="inlineStr">
        <is>
          <t>벽 꾸미기</t>
        </is>
      </c>
      <c r="E123" t="inlineStr">
        <is>
          <t>벽 꾸미기</t>
        </is>
      </c>
      <c r="F123" t="n">
        <v>120</v>
      </c>
      <c r="G123" t="n">
        <v>6</v>
      </c>
      <c r="H123">
        <f>IF(F123=0,"기본 지급",ROUND(F123/$B$1,1))</f>
        <v/>
      </c>
      <c r="I123" t="inlineStr"/>
      <c r="J123" t="inlineStr">
        <is>
          <t>room-assets-themes</t>
        </is>
      </c>
    </row>
    <row r="124">
      <c r="A124" t="inlineStr">
        <is>
          <t>floor_latte_herring</t>
        </is>
      </c>
      <c r="B124" t="inlineStr">
        <is>
          <t>라떼 헤링본</t>
        </is>
      </c>
      <c r="C124" t="inlineStr">
        <is>
          <t>cat_cafe</t>
        </is>
      </c>
      <c r="D124" t="inlineStr">
        <is>
          <t>바닥</t>
        </is>
      </c>
      <c r="E124" t="inlineStr">
        <is>
          <t>벽지/바닥</t>
        </is>
      </c>
      <c r="F124" t="n">
        <v>0</v>
      </c>
      <c r="G124" t="n">
        <v>8</v>
      </c>
      <c r="H124">
        <f>IF(F124=0,"기본 지급",ROUND(F124/$B$1,1))</f>
        <v/>
      </c>
      <c r="I124" t="inlineStr">
        <is>
          <t>roomDefault</t>
        </is>
      </c>
      <c r="J124" t="inlineStr">
        <is>
          <t>room-assets-themes</t>
        </is>
      </c>
    </row>
    <row r="125">
      <c r="A125" t="inlineStr">
        <is>
          <t>floor_cocoa_check</t>
        </is>
      </c>
      <c r="B125" t="inlineStr">
        <is>
          <t>코코아 체크</t>
        </is>
      </c>
      <c r="C125" t="inlineStr">
        <is>
          <t>cat_cafe</t>
        </is>
      </c>
      <c r="D125" t="inlineStr">
        <is>
          <t>바닥</t>
        </is>
      </c>
      <c r="E125" t="inlineStr">
        <is>
          <t>벽지/바닥</t>
        </is>
      </c>
      <c r="F125" t="n">
        <v>240</v>
      </c>
      <c r="G125" t="n">
        <v>8</v>
      </c>
      <c r="H125">
        <f>IF(F125=0,"기본 지급",ROUND(F125/$B$1,1))</f>
        <v/>
      </c>
      <c r="I125" t="inlineStr"/>
      <c r="J125" t="inlineStr">
        <is>
          <t>room-assets-themes</t>
        </is>
      </c>
    </row>
    <row r="126">
      <c r="A126" t="inlineStr">
        <is>
          <t>floor_terracotta_hex</t>
        </is>
      </c>
      <c r="B126" t="inlineStr">
        <is>
          <t>테라코타 육각</t>
        </is>
      </c>
      <c r="C126" t="inlineStr">
        <is>
          <t>cat_cafe</t>
        </is>
      </c>
      <c r="D126" t="inlineStr">
        <is>
          <t>바닥</t>
        </is>
      </c>
      <c r="E126" t="inlineStr">
        <is>
          <t>벽지/바닥</t>
        </is>
      </c>
      <c r="F126" t="n">
        <v>280</v>
      </c>
      <c r="G126" t="n">
        <v>8</v>
      </c>
      <c r="H126">
        <f>IF(F126=0,"기본 지급",ROUND(F126/$B$1,1))</f>
        <v/>
      </c>
      <c r="I126" t="inlineStr"/>
      <c r="J126" t="inlineStr">
        <is>
          <t>room-assets-themes</t>
        </is>
      </c>
    </row>
    <row r="127">
      <c r="A127" t="inlineStr">
        <is>
          <t>floor_cream_terrazzo</t>
        </is>
      </c>
      <c r="B127" t="inlineStr">
        <is>
          <t>크림 테라조</t>
        </is>
      </c>
      <c r="C127" t="inlineStr">
        <is>
          <t>cat_cafe</t>
        </is>
      </c>
      <c r="D127" t="inlineStr">
        <is>
          <t>바닥</t>
        </is>
      </c>
      <c r="E127" t="inlineStr">
        <is>
          <t>벽지/바닥</t>
        </is>
      </c>
      <c r="F127" t="n">
        <v>260</v>
      </c>
      <c r="G127" t="n">
        <v>8</v>
      </c>
      <c r="H127">
        <f>IF(F127=0,"기본 지급",ROUND(F127/$B$1,1))</f>
        <v/>
      </c>
      <c r="I127" t="inlineStr"/>
      <c r="J127" t="inlineStr">
        <is>
          <t>room-assets-themes</t>
        </is>
      </c>
    </row>
    <row r="128">
      <c r="A128" t="inlineStr">
        <is>
          <t>floor_mint_tile</t>
        </is>
      </c>
      <c r="B128" t="inlineStr">
        <is>
          <t>민트 타일</t>
        </is>
      </c>
      <c r="C128" t="inlineStr">
        <is>
          <t>cat_cafe</t>
        </is>
      </c>
      <c r="D128" t="inlineStr">
        <is>
          <t>바닥</t>
        </is>
      </c>
      <c r="E128" t="inlineStr">
        <is>
          <t>벽지/바닥</t>
        </is>
      </c>
      <c r="F128" t="n">
        <v>260</v>
      </c>
      <c r="G128" t="n">
        <v>8</v>
      </c>
      <c r="H128">
        <f>IF(F128=0,"기본 지급",ROUND(F128/$B$1,1))</f>
        <v/>
      </c>
      <c r="I128" t="inlineStr"/>
      <c r="J128" t="inlineStr">
        <is>
          <t>room-assets-themes</t>
        </is>
      </c>
    </row>
    <row r="129">
      <c r="A129" t="inlineStr">
        <is>
          <t>floor_cocoa_plank</t>
        </is>
      </c>
      <c r="B129" t="inlineStr">
        <is>
          <t>코코아 원목</t>
        </is>
      </c>
      <c r="C129" t="inlineStr">
        <is>
          <t>cat_cafe</t>
        </is>
      </c>
      <c r="D129" t="inlineStr">
        <is>
          <t>바닥</t>
        </is>
      </c>
      <c r="E129" t="inlineStr">
        <is>
          <t>벽지/바닥</t>
        </is>
      </c>
      <c r="F129" t="n">
        <v>300</v>
      </c>
      <c r="G129" t="n">
        <v>8</v>
      </c>
      <c r="H129">
        <f>IF(F129=0,"기본 지급",ROUND(F129/$B$1,1))</f>
        <v/>
      </c>
      <c r="I129" t="inlineStr"/>
      <c r="J129" t="inlineStr">
        <is>
          <t>room-assets-themes</t>
        </is>
      </c>
    </row>
    <row r="130">
      <c r="A130" t="inlineStr">
        <is>
          <t>wall_pink_brick</t>
        </is>
      </c>
      <c r="B130" t="inlineStr">
        <is>
          <t>핑크 벽돌</t>
        </is>
      </c>
      <c r="C130" t="inlineStr">
        <is>
          <t>cat_cafe</t>
        </is>
      </c>
      <c r="D130" t="inlineStr">
        <is>
          <t>벽지</t>
        </is>
      </c>
      <c r="E130" t="inlineStr">
        <is>
          <t>벽지/바닥</t>
        </is>
      </c>
      <c r="F130" t="n">
        <v>0</v>
      </c>
      <c r="G130" t="n">
        <v>8</v>
      </c>
      <c r="H130">
        <f>IF(F130=0,"기본 지급",ROUND(F130/$B$1,1))</f>
        <v/>
      </c>
      <c r="I130" t="inlineStr">
        <is>
          <t>roomDefault</t>
        </is>
      </c>
      <c r="J130" t="inlineStr">
        <is>
          <t>room-assets-themes</t>
        </is>
      </c>
    </row>
    <row r="131">
      <c r="A131" t="inlineStr">
        <is>
          <t>wall_latte_stripe</t>
        </is>
      </c>
      <c r="B131" t="inlineStr">
        <is>
          <t>라떼 줄무늬</t>
        </is>
      </c>
      <c r="C131" t="inlineStr">
        <is>
          <t>cat_cafe</t>
        </is>
      </c>
      <c r="D131" t="inlineStr">
        <is>
          <t>벽지</t>
        </is>
      </c>
      <c r="E131" t="inlineStr">
        <is>
          <t>벽지/바닥</t>
        </is>
      </c>
      <c r="F131" t="n">
        <v>0</v>
      </c>
      <c r="G131" t="n">
        <v>8</v>
      </c>
      <c r="H131">
        <f>IF(F131=0,"기본 지급",ROUND(F131/$B$1,1))</f>
        <v/>
      </c>
      <c r="I131" t="inlineStr">
        <is>
          <t>roomDefault</t>
        </is>
      </c>
      <c r="J131" t="inlineStr">
        <is>
          <t>room-assets-themes</t>
        </is>
      </c>
    </row>
    <row r="132">
      <c r="A132" t="inlineStr">
        <is>
          <t>wall_mint_wainscot</t>
        </is>
      </c>
      <c r="B132" t="inlineStr">
        <is>
          <t>민트 웨인스코팅</t>
        </is>
      </c>
      <c r="C132" t="inlineStr">
        <is>
          <t>cat_cafe</t>
        </is>
      </c>
      <c r="D132" t="inlineStr">
        <is>
          <t>벽지</t>
        </is>
      </c>
      <c r="E132" t="inlineStr">
        <is>
          <t>벽지/바닥</t>
        </is>
      </c>
      <c r="F132" t="n">
        <v>280</v>
      </c>
      <c r="G132" t="n">
        <v>8</v>
      </c>
      <c r="H132">
        <f>IF(F132=0,"기본 지급",ROUND(F132/$B$1,1))</f>
        <v/>
      </c>
      <c r="I132" t="inlineStr"/>
      <c r="J132" t="inlineStr">
        <is>
          <t>room-assets-themes</t>
        </is>
      </c>
    </row>
    <row r="133">
      <c r="A133" t="inlineStr">
        <is>
          <t>wall_coffee_bean</t>
        </is>
      </c>
      <c r="B133" t="inlineStr">
        <is>
          <t>커피콩 패턴</t>
        </is>
      </c>
      <c r="C133" t="inlineStr">
        <is>
          <t>cat_cafe</t>
        </is>
      </c>
      <c r="D133" t="inlineStr">
        <is>
          <t>벽지</t>
        </is>
      </c>
      <c r="E133" t="inlineStr">
        <is>
          <t>벽지/바닥</t>
        </is>
      </c>
      <c r="F133" t="n">
        <v>260</v>
      </c>
      <c r="G133" t="n">
        <v>8</v>
      </c>
      <c r="H133">
        <f>IF(F133=0,"기본 지급",ROUND(F133/$B$1,1))</f>
        <v/>
      </c>
      <c r="I133" t="inlineStr"/>
      <c r="J133" t="inlineStr">
        <is>
          <t>room-assets-themes</t>
        </is>
      </c>
    </row>
    <row r="134">
      <c r="A134" t="inlineStr">
        <is>
          <t>wall_tiny_cups</t>
        </is>
      </c>
      <c r="B134" t="inlineStr">
        <is>
          <t>크림 컵 무늬</t>
        </is>
      </c>
      <c r="C134" t="inlineStr">
        <is>
          <t>cat_cafe</t>
        </is>
      </c>
      <c r="D134" t="inlineStr">
        <is>
          <t>벽지</t>
        </is>
      </c>
      <c r="E134" t="inlineStr">
        <is>
          <t>벽지/바닥</t>
        </is>
      </c>
      <c r="F134" t="n">
        <v>260</v>
      </c>
      <c r="G134" t="n">
        <v>8</v>
      </c>
      <c r="H134">
        <f>IF(F134=0,"기본 지급",ROUND(F134/$B$1,1))</f>
        <v/>
      </c>
      <c r="I134" t="inlineStr"/>
      <c r="J134" t="inlineStr">
        <is>
          <t>room-assets-themes</t>
        </is>
      </c>
    </row>
    <row r="135">
      <c r="A135" t="inlineStr">
        <is>
          <t>wall_chalk_cream</t>
        </is>
      </c>
      <c r="B135" t="inlineStr">
        <is>
          <t>칠판 하프월</t>
        </is>
      </c>
      <c r="C135" t="inlineStr">
        <is>
          <t>cat_cafe</t>
        </is>
      </c>
      <c r="D135" t="inlineStr">
        <is>
          <t>벽지</t>
        </is>
      </c>
      <c r="E135" t="inlineStr">
        <is>
          <t>벽지/바닥</t>
        </is>
      </c>
      <c r="F135" t="n">
        <v>320</v>
      </c>
      <c r="G135" t="n">
        <v>8</v>
      </c>
      <c r="H135">
        <f>IF(F135=0,"기본 지급",ROUND(F135/$B$1,1))</f>
        <v/>
      </c>
      <c r="I135" t="inlineStr"/>
      <c r="J135" t="inlineStr">
        <is>
          <t>room-assets-themes</t>
        </is>
      </c>
    </row>
    <row r="136">
      <c r="A136" t="inlineStr">
        <is>
          <t>floor_grass</t>
        </is>
      </c>
      <c r="B136" t="inlineStr">
        <is>
          <t>폭신 잔디</t>
        </is>
      </c>
      <c r="C136" t="inlineStr">
        <is>
          <t>sakura_greenhouse</t>
        </is>
      </c>
      <c r="D136" t="inlineStr">
        <is>
          <t>바닥</t>
        </is>
      </c>
      <c r="E136" t="inlineStr">
        <is>
          <t>벽지/바닥</t>
        </is>
      </c>
      <c r="F136" t="n">
        <v>0</v>
      </c>
      <c r="G136" t="n">
        <v>8</v>
      </c>
      <c r="H136">
        <f>IF(F136=0,"기본 지급",ROUND(F136/$B$1,1))</f>
        <v/>
      </c>
      <c r="I136" t="inlineStr">
        <is>
          <t>roomDefault</t>
        </is>
      </c>
      <c r="J136" t="inlineStr">
        <is>
          <t>room-assets-themes</t>
        </is>
      </c>
    </row>
    <row r="137">
      <c r="A137" t="inlineStr">
        <is>
          <t>floor_stone_path</t>
        </is>
      </c>
      <c r="B137" t="inlineStr">
        <is>
          <t>징검돌 길</t>
        </is>
      </c>
      <c r="C137" t="inlineStr">
        <is>
          <t>sakura_greenhouse</t>
        </is>
      </c>
      <c r="D137" t="inlineStr">
        <is>
          <t>바닥</t>
        </is>
      </c>
      <c r="E137" t="inlineStr">
        <is>
          <t>벽지/바닥</t>
        </is>
      </c>
      <c r="F137" t="n">
        <v>260</v>
      </c>
      <c r="G137" t="n">
        <v>8</v>
      </c>
      <c r="H137">
        <f>IF(F137=0,"기본 지급",ROUND(F137/$B$1,1))</f>
        <v/>
      </c>
      <c r="I137" t="inlineStr"/>
      <c r="J137" t="inlineStr">
        <is>
          <t>room-assets-themes</t>
        </is>
      </c>
    </row>
    <row r="138">
      <c r="A138" t="inlineStr">
        <is>
          <t>floor_light_deck</t>
        </is>
      </c>
      <c r="B138" t="inlineStr">
        <is>
          <t>라이트 데크</t>
        </is>
      </c>
      <c r="C138" t="inlineStr">
        <is>
          <t>sakura_greenhouse</t>
        </is>
      </c>
      <c r="D138" t="inlineStr">
        <is>
          <t>바닥</t>
        </is>
      </c>
      <c r="E138" t="inlineStr">
        <is>
          <t>벽지/바닥</t>
        </is>
      </c>
      <c r="F138" t="n">
        <v>280</v>
      </c>
      <c r="G138" t="n">
        <v>8</v>
      </c>
      <c r="H138">
        <f>IF(F138=0,"기본 지급",ROUND(F138/$B$1,1))</f>
        <v/>
      </c>
      <c r="I138" t="inlineStr"/>
      <c r="J138" t="inlineStr">
        <is>
          <t>room-assets-themes</t>
        </is>
      </c>
    </row>
    <row r="139">
      <c r="A139" t="inlineStr">
        <is>
          <t>floor_petal_grass</t>
        </is>
      </c>
      <c r="B139" t="inlineStr">
        <is>
          <t>벚꽃잎 잔디</t>
        </is>
      </c>
      <c r="C139" t="inlineStr">
        <is>
          <t>sakura_greenhouse</t>
        </is>
      </c>
      <c r="D139" t="inlineStr">
        <is>
          <t>바닥</t>
        </is>
      </c>
      <c r="E139" t="inlineStr">
        <is>
          <t>벽지/바닥</t>
        </is>
      </c>
      <c r="F139" t="n">
        <v>300</v>
      </c>
      <c r="G139" t="n">
        <v>8</v>
      </c>
      <c r="H139">
        <f>IF(F139=0,"기본 지급",ROUND(F139/$B$1,1))</f>
        <v/>
      </c>
      <c r="I139" t="inlineStr"/>
      <c r="J139" t="inlineStr">
        <is>
          <t>room-assets-themes</t>
        </is>
      </c>
    </row>
    <row r="140">
      <c r="A140" t="inlineStr">
        <is>
          <t>floor_pebble_mosaic</t>
        </is>
      </c>
      <c r="B140" t="inlineStr">
        <is>
          <t>조약돌 모자이크</t>
        </is>
      </c>
      <c r="C140" t="inlineStr">
        <is>
          <t>sakura_greenhouse</t>
        </is>
      </c>
      <c r="D140" t="inlineStr">
        <is>
          <t>바닥</t>
        </is>
      </c>
      <c r="E140" t="inlineStr">
        <is>
          <t>벽지/바닥</t>
        </is>
      </c>
      <c r="F140" t="n">
        <v>320</v>
      </c>
      <c r="G140" t="n">
        <v>8</v>
      </c>
      <c r="H140">
        <f>IF(F140=0,"기본 지급",ROUND(F140/$B$1,1))</f>
        <v/>
      </c>
      <c r="I140" t="inlineStr"/>
      <c r="J140" t="inlineStr">
        <is>
          <t>room-assets-themes</t>
        </is>
      </c>
    </row>
    <row r="141">
      <c r="A141" t="inlineStr">
        <is>
          <t>floor_moss_tile</t>
        </is>
      </c>
      <c r="B141" t="inlineStr">
        <is>
          <t>이끼 돌타일</t>
        </is>
      </c>
      <c r="C141" t="inlineStr">
        <is>
          <t>sakura_greenhouse</t>
        </is>
      </c>
      <c r="D141" t="inlineStr">
        <is>
          <t>바닥</t>
        </is>
      </c>
      <c r="E141" t="inlineStr">
        <is>
          <t>벽지/바닥</t>
        </is>
      </c>
      <c r="F141" t="n">
        <v>300</v>
      </c>
      <c r="G141" t="n">
        <v>8</v>
      </c>
      <c r="H141">
        <f>IF(F141=0,"기본 지급",ROUND(F141/$B$1,1))</f>
        <v/>
      </c>
      <c r="I141" t="inlineStr"/>
      <c r="J141" t="inlineStr">
        <is>
          <t>room-assets-themes</t>
        </is>
      </c>
    </row>
    <row r="142">
      <c r="A142" t="inlineStr">
        <is>
          <t>wall_glass_pane</t>
        </is>
      </c>
      <c r="B142" t="inlineStr">
        <is>
          <t>온실 유리창</t>
        </is>
      </c>
      <c r="C142" t="inlineStr">
        <is>
          <t>sakura_greenhouse</t>
        </is>
      </c>
      <c r="D142" t="inlineStr">
        <is>
          <t>벽지</t>
        </is>
      </c>
      <c r="E142" t="inlineStr">
        <is>
          <t>벽지/바닥</t>
        </is>
      </c>
      <c r="F142" t="n">
        <v>0</v>
      </c>
      <c r="G142" t="n">
        <v>8</v>
      </c>
      <c r="H142">
        <f>IF(F142=0,"기본 지급",ROUND(F142/$B$1,1))</f>
        <v/>
      </c>
      <c r="I142" t="inlineStr">
        <is>
          <t>roomDefault</t>
        </is>
      </c>
      <c r="J142" t="inlineStr">
        <is>
          <t>room-assets-themes</t>
        </is>
      </c>
    </row>
    <row r="143">
      <c r="A143" t="inlineStr">
        <is>
          <t>wall_sakura_branch_wall</t>
        </is>
      </c>
      <c r="B143" t="inlineStr">
        <is>
          <t>벚꽃 가지</t>
        </is>
      </c>
      <c r="C143" t="inlineStr">
        <is>
          <t>sakura_greenhouse</t>
        </is>
      </c>
      <c r="D143" t="inlineStr">
        <is>
          <t>벽지</t>
        </is>
      </c>
      <c r="E143" t="inlineStr">
        <is>
          <t>벽지/바닥</t>
        </is>
      </c>
      <c r="F143" t="n">
        <v>280</v>
      </c>
      <c r="G143" t="n">
        <v>8</v>
      </c>
      <c r="H143">
        <f>IF(F143=0,"기본 지급",ROUND(F143/$B$1,1))</f>
        <v/>
      </c>
      <c r="I143" t="inlineStr"/>
      <c r="J143" t="inlineStr">
        <is>
          <t>room-assets-themes</t>
        </is>
      </c>
    </row>
    <row r="144">
      <c r="A144" t="inlineStr">
        <is>
          <t>wall_ivy_trellis</t>
        </is>
      </c>
      <c r="B144" t="inlineStr">
        <is>
          <t>아이비 트렐리스</t>
        </is>
      </c>
      <c r="C144" t="inlineStr">
        <is>
          <t>sakura_greenhouse</t>
        </is>
      </c>
      <c r="D144" t="inlineStr">
        <is>
          <t>벽지</t>
        </is>
      </c>
      <c r="E144" t="inlineStr">
        <is>
          <t>벽지/바닥</t>
        </is>
      </c>
      <c r="F144" t="n">
        <v>280</v>
      </c>
      <c r="G144" t="n">
        <v>8</v>
      </c>
      <c r="H144">
        <f>IF(F144=0,"기본 지급",ROUND(F144/$B$1,1))</f>
        <v/>
      </c>
      <c r="I144" t="inlineStr"/>
      <c r="J144" t="inlineStr">
        <is>
          <t>room-assets-themes</t>
        </is>
      </c>
    </row>
    <row r="145">
      <c r="A145" t="inlineStr">
        <is>
          <t>wall_sky_cloud</t>
        </is>
      </c>
      <c r="B145" t="inlineStr">
        <is>
          <t>하늘 구름</t>
        </is>
      </c>
      <c r="C145" t="inlineStr">
        <is>
          <t>sakura_greenhouse</t>
        </is>
      </c>
      <c r="D145" t="inlineStr">
        <is>
          <t>벽지</t>
        </is>
      </c>
      <c r="E145" t="inlineStr">
        <is>
          <t>벽지/바닥</t>
        </is>
      </c>
      <c r="F145" t="n">
        <v>260</v>
      </c>
      <c r="G145" t="n">
        <v>8</v>
      </c>
      <c r="H145">
        <f>IF(F145=0,"기본 지급",ROUND(F145/$B$1,1))</f>
        <v/>
      </c>
      <c r="I145" t="inlineStr"/>
      <c r="J145" t="inlineStr">
        <is>
          <t>room-assets-themes</t>
        </is>
      </c>
    </row>
    <row r="146">
      <c r="A146" t="inlineStr">
        <is>
          <t>wall_sage_panel</t>
        </is>
      </c>
      <c r="B146" t="inlineStr">
        <is>
          <t>세이지 패널</t>
        </is>
      </c>
      <c r="C146" t="inlineStr">
        <is>
          <t>sakura_greenhouse</t>
        </is>
      </c>
      <c r="D146" t="inlineStr">
        <is>
          <t>벽지</t>
        </is>
      </c>
      <c r="E146" t="inlineStr">
        <is>
          <t>벽지/바닥</t>
        </is>
      </c>
      <c r="F146" t="n">
        <v>240</v>
      </c>
      <c r="G146" t="n">
        <v>8</v>
      </c>
      <c r="H146">
        <f>IF(F146=0,"기본 지급",ROUND(F146/$B$1,1))</f>
        <v/>
      </c>
      <c r="I146" t="inlineStr"/>
      <c r="J146" t="inlineStr">
        <is>
          <t>room-assets-themes</t>
        </is>
      </c>
    </row>
    <row r="147">
      <c r="A147" t="inlineStr">
        <is>
          <t>wall_white_lattice</t>
        </is>
      </c>
      <c r="B147" t="inlineStr">
        <is>
          <t>화이트 격자</t>
        </is>
      </c>
      <c r="C147" t="inlineStr">
        <is>
          <t>sakura_greenhouse</t>
        </is>
      </c>
      <c r="D147" t="inlineStr">
        <is>
          <t>벽지</t>
        </is>
      </c>
      <c r="E147" t="inlineStr">
        <is>
          <t>벽지/바닥</t>
        </is>
      </c>
      <c r="F147" t="n">
        <v>260</v>
      </c>
      <c r="G147" t="n">
        <v>8</v>
      </c>
      <c r="H147">
        <f>IF(F147=0,"기본 지급",ROUND(F147/$B$1,1))</f>
        <v/>
      </c>
      <c r="I147" t="inlineStr"/>
      <c r="J147" t="inlineStr">
        <is>
          <t>room-assets-themes</t>
        </is>
      </c>
    </row>
    <row r="149">
      <c r="A149" s="5" t="inlineStr">
        <is>
          <t>등급</t>
        </is>
      </c>
      <c r="B149" s="5" t="inlineStr">
        <is>
          <t>가격 범위</t>
        </is>
      </c>
      <c r="C149" s="5" t="inlineStr">
        <is>
          <t>코지</t>
        </is>
      </c>
      <c r="D149" s="5" t="inlineStr">
        <is>
          <t>개수</t>
        </is>
      </c>
      <c r="E149" s="5" t="inlineStr">
        <is>
          <t>평균 가격</t>
        </is>
      </c>
    </row>
    <row r="150">
      <c r="A150" t="inlineStr">
        <is>
          <t>작은 소품</t>
        </is>
      </c>
      <c r="B150" t="inlineStr">
        <is>
          <t>80–150</t>
        </is>
      </c>
      <c r="C150" t="n">
        <v>4</v>
      </c>
      <c r="D150">
        <f>COUNTIF($E$4:$E$147,A150)</f>
        <v/>
      </c>
      <c r="E150">
        <f>IFERROR(AVERAGEIF($E$4:$E$147,A150,$F$4:$F$147),"-")</f>
        <v/>
      </c>
    </row>
    <row r="151">
      <c r="A151" t="inlineStr">
        <is>
          <t>일반 가구</t>
        </is>
      </c>
      <c r="B151" t="inlineStr">
        <is>
          <t>200–400</t>
        </is>
      </c>
      <c r="C151" t="n">
        <v>10</v>
      </c>
      <c r="D151">
        <f>COUNTIF($E$4:$E$147,A151)</f>
        <v/>
      </c>
      <c r="E151">
        <f>IFERROR(AVERAGEIF($E$4:$E$147,A151,$F$4:$F$147),"-")</f>
        <v/>
      </c>
    </row>
    <row r="152">
      <c r="A152" t="inlineStr">
        <is>
          <t>큰/테마 대표 가구</t>
        </is>
      </c>
      <c r="B152" t="inlineStr">
        <is>
          <t>500–900</t>
        </is>
      </c>
      <c r="C152" t="n">
        <v>25</v>
      </c>
      <c r="D152">
        <f>COUNTIF($E$4:$E$147,A152)</f>
        <v/>
      </c>
      <c r="E152">
        <f>IFERROR(AVERAGEIF($E$4:$E$147,A152,$F$4:$F$147),"-")</f>
        <v/>
      </c>
    </row>
    <row r="153">
      <c r="A153" t="inlineStr">
        <is>
          <t>벽 꾸미기</t>
        </is>
      </c>
      <c r="B153" t="inlineStr">
        <is>
          <t>100–250</t>
        </is>
      </c>
      <c r="C153" t="n">
        <v>6</v>
      </c>
      <c r="D153">
        <f>COUNTIF($E$4:$E$147,A153)</f>
        <v/>
      </c>
      <c r="E153">
        <f>IFERROR(AVERAGEIF($E$4:$E$147,A153,$F$4:$F$147),"-")</f>
        <v/>
      </c>
    </row>
    <row r="154">
      <c r="A154" t="inlineStr">
        <is>
          <t>벽지/바닥</t>
        </is>
      </c>
      <c r="B154" t="inlineStr">
        <is>
          <t>200–400</t>
        </is>
      </c>
      <c r="C154" t="n">
        <v>8</v>
      </c>
      <c r="D154">
        <f>COUNTIF($E$4:$E$147,A154)</f>
        <v/>
      </c>
      <c r="E154">
        <f>IFERROR(AVERAGEIF($E$4:$E$147,A154,$F$4:$F$147),"-")</f>
        <v/>
      </c>
    </row>
    <row r="155">
      <c r="A155" t="inlineStr">
        <is>
          <t>레전드급 한정</t>
        </is>
      </c>
      <c r="B155" t="inlineStr">
        <is>
          <t>1500–</t>
        </is>
      </c>
      <c r="C155" t="n">
        <v>60</v>
      </c>
      <c r="D155">
        <f>COUNTIF($E$4:$E$147,A155)</f>
        <v/>
      </c>
      <c r="E155">
        <f>IFERROR(AVERAGEIF($E$4:$E$147,A155,$F$4:$F$147),"-")</f>
        <v/>
      </c>
    </row>
  </sheetData>
  <autoFilter ref="A3:J14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6" customWidth="1" min="4" max="4"/>
    <col width="20" customWidth="1" min="5" max="5"/>
    <col width="50" customWidth="1" min="6" max="6"/>
  </cols>
  <sheetData>
    <row r="1">
      <c r="A1" t="inlineStr">
        <is>
          <t>하루 수입(포인트)</t>
        </is>
      </c>
      <c r="B1">
        <f>'포인트 경제'!B12</f>
        <v/>
      </c>
    </row>
    <row r="3">
      <c r="A3" s="5" t="inlineStr">
        <is>
          <t>방</t>
        </is>
      </c>
      <c r="B3" s="5" t="inlineStr">
        <is>
          <t>해금 포인트</t>
        </is>
      </c>
      <c r="C3" s="5" t="inlineStr">
        <is>
          <t>필요 코지 Lv</t>
        </is>
      </c>
      <c r="D3" s="5" t="inlineStr">
        <is>
          <t>필요 코지 포인트</t>
        </is>
      </c>
      <c r="E3" s="5" t="inlineStr">
        <is>
          <t>며칠 모으면(포인트만)</t>
        </is>
      </c>
      <c r="F3" s="5" t="inlineStr">
        <is>
          <t>해금 시 지급</t>
        </is>
      </c>
    </row>
    <row r="4">
      <c r="A4" t="inlineStr">
        <is>
          <t>달밤 침실</t>
        </is>
      </c>
      <c r="B4" t="n">
        <v>0</v>
      </c>
      <c r="C4" t="inlineStr">
        <is>
          <t>-</t>
        </is>
      </c>
      <c r="D4">
        <f>IFERROR(VLOOKUP(C4,$A$13:$B$22,2,FALSE),"-")</f>
        <v/>
      </c>
      <c r="E4">
        <f>IF(B4=0,"기본",ROUND(B4/$B$1,1))</f>
        <v/>
      </c>
      <c r="F4" t="inlineStr">
        <is>
          <t>-</t>
        </is>
      </c>
    </row>
    <row r="5">
      <c r="A5" t="inlineStr">
        <is>
          <t>고양이 카페</t>
        </is>
      </c>
      <c r="B5" t="n">
        <v>1500</v>
      </c>
      <c r="C5" t="n">
        <v>5</v>
      </c>
      <c r="D5">
        <f>IFERROR(VLOOKUP(C5,$A$13:$B$22,2,FALSE),"-")</f>
        <v/>
      </c>
      <c r="E5">
        <f>IF(B5=0,"기본",ROUND(B5/$B$1,1))</f>
        <v/>
      </c>
      <c r="F5" t="inlineStr">
        <is>
          <t>cafe_table, heart_chair, chalk_stand, menu_board</t>
        </is>
      </c>
    </row>
    <row r="6">
      <c r="A6" t="inlineStr">
        <is>
          <t>벚꽃 온실 정원</t>
        </is>
      </c>
      <c r="B6" t="n">
        <v>3000</v>
      </c>
      <c r="C6" t="n">
        <v>8</v>
      </c>
      <c r="D6">
        <f>IFERROR(VLOOKUP(C6,$A$13:$B$22,2,FALSE),"-")</f>
        <v/>
      </c>
      <c r="E6">
        <f>IF(B6=0,"기본",ROUND(B6/$B$1,1))</f>
        <v/>
      </c>
      <c r="F6" t="inlineStr">
        <is>
          <t>tea_table_white, tulip_planter, watering_can, hanging_basket</t>
        </is>
      </c>
    </row>
    <row r="7">
      <c r="A7" t="inlineStr">
        <is>
          <t>_future</t>
        </is>
      </c>
      <c r="B7" t="n">
        <v>5000</v>
      </c>
      <c r="C7" t="n">
        <v>10</v>
      </c>
      <c r="D7">
        <f>IFERROR(VLOOKUP(C7,$A$13:$B$22,2,FALSE),"-")</f>
        <v/>
      </c>
      <c r="E7">
        <f>IF(B7=0,"기본",ROUND(B7/$B$1,1))</f>
        <v/>
      </c>
      <c r="F7" t="inlineStr">
        <is>
          <t>3–4개</t>
        </is>
      </c>
    </row>
    <row r="12">
      <c r="A12" s="5" t="inlineStr">
        <is>
          <t>코지 Lv</t>
        </is>
      </c>
      <c r="B12" s="5" t="inlineStr">
        <is>
          <t>최소 코지 포인트</t>
        </is>
      </c>
      <c r="C12" s="5" t="inlineStr">
        <is>
          <t>목표</t>
        </is>
      </c>
    </row>
    <row r="13">
      <c r="A13" t="n">
        <v>1</v>
      </c>
      <c r="B13" s="4" t="n">
        <v>0</v>
      </c>
      <c r="C13" t="inlineStr"/>
    </row>
    <row r="14">
      <c r="A14" t="n">
        <v>2</v>
      </c>
      <c r="B14" s="4" t="n">
        <v>100</v>
      </c>
      <c r="C14" t="inlineStr"/>
    </row>
    <row r="15">
      <c r="A15" t="n">
        <v>3</v>
      </c>
      <c r="B15" s="4" t="n">
        <v>130</v>
      </c>
      <c r="C15" t="inlineStr"/>
    </row>
    <row r="16">
      <c r="A16" t="n">
        <v>4</v>
      </c>
      <c r="B16" s="4" t="n">
        <v>165</v>
      </c>
      <c r="C16" t="inlineStr"/>
    </row>
    <row r="17">
      <c r="A17" t="n">
        <v>5</v>
      </c>
      <c r="B17" s="4" t="n">
        <v>200</v>
      </c>
      <c r="C17" t="inlineStr">
        <is>
          <t>활성 유저 10–14일차 (시뮬 12일)</t>
        </is>
      </c>
    </row>
    <row r="18">
      <c r="A18" t="n">
        <v>6</v>
      </c>
      <c r="B18" s="4" t="n">
        <v>225</v>
      </c>
      <c r="C18" t="inlineStr"/>
    </row>
    <row r="19">
      <c r="A19" t="n">
        <v>7</v>
      </c>
      <c r="B19" s="4" t="n">
        <v>250</v>
      </c>
      <c r="C19" t="inlineStr"/>
    </row>
    <row r="20">
      <c r="A20" t="n">
        <v>8</v>
      </c>
      <c r="B20" s="4" t="n">
        <v>280</v>
      </c>
      <c r="C20" t="inlineStr">
        <is>
          <t>25–30일차 (시뮬 28일)</t>
        </is>
      </c>
    </row>
    <row r="21">
      <c r="A21" t="n">
        <v>9</v>
      </c>
      <c r="B21" s="4" t="n">
        <v>330</v>
      </c>
      <c r="C21" t="inlineStr"/>
    </row>
    <row r="22">
      <c r="A22" t="n">
        <v>10</v>
      </c>
      <c r="B22" s="4" t="n">
        <v>400</v>
      </c>
      <c r="C22" t="inlineStr"/>
    </row>
    <row r="24">
      <c r="A24" t="inlineStr">
        <is>
          <t>코지 포인트 = 보유 아이템의 등급별 코지 합 (작은 소품 4 · 일반 가구 10 · 큰/대표 25 · 벽 꾸미기 6 · 벽지/바닥 8 · 레전드 60)</t>
        </is>
      </c>
    </row>
    <row r="25">
      <c r="A25" t="inlineStr">
        <is>
          <t>시뮬레이션에서 고양이 카페 해금(포인트 1,500 모으기 포함) 중앙값은 21일차예요.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30" customWidth="1" min="3" max="3"/>
    <col width="12" customWidth="1" min="4" max="4"/>
    <col width="10" customWidth="1" min="5" max="5"/>
    <col width="12" customWidth="1" min="6" max="6"/>
  </cols>
  <sheetData>
    <row r="1">
      <c r="A1" s="3" t="inlineStr">
        <is>
          <t>토스 지급 (1인 최대)</t>
        </is>
      </c>
    </row>
    <row r="3">
      <c r="A3" s="5" t="inlineStr">
        <is>
          <t>보상</t>
        </is>
      </c>
      <c r="B3" s="5" t="inlineStr">
        <is>
          <t>횟수</t>
        </is>
      </c>
      <c r="C3" s="5" t="inlineStr">
        <is>
          <t>토스(원)</t>
        </is>
      </c>
      <c r="D3" s="5" t="inlineStr">
        <is>
          <t>토스 합계</t>
        </is>
      </c>
      <c r="E3" s="5" t="inlineStr">
        <is>
          <t>포인트</t>
        </is>
      </c>
      <c r="F3" s="5" t="inlineStr">
        <is>
          <t>포인트 합계</t>
        </is>
      </c>
    </row>
    <row r="4">
      <c r="A4" t="inlineStr">
        <is>
          <t>새 카드 첫 획득</t>
        </is>
      </c>
      <c r="B4" t="n">
        <v>107</v>
      </c>
      <c r="C4" s="4" t="n">
        <v>1</v>
      </c>
      <c r="D4">
        <f>B4*C4</f>
        <v/>
      </c>
      <c r="E4" s="4" t="n">
        <v>20</v>
      </c>
      <c r="F4">
        <f>B4*E4</f>
        <v/>
      </c>
    </row>
    <row r="5">
      <c r="A5" t="inlineStr">
        <is>
          <t>품종 1–5★ 완성</t>
        </is>
      </c>
      <c r="B5" t="n">
        <v>18</v>
      </c>
      <c r="C5" s="4" t="n">
        <v>10</v>
      </c>
      <c r="D5">
        <f>B5*C5</f>
        <v/>
      </c>
      <c r="E5" s="4" t="n">
        <v>200</v>
      </c>
      <c r="F5">
        <f>B5*E5</f>
        <v/>
      </c>
    </row>
    <row r="6">
      <c r="A6" t="inlineStr">
        <is>
          <t>스페셜 세트 완성</t>
        </is>
      </c>
      <c r="B6" t="n">
        <v>1</v>
      </c>
      <c r="C6" s="4" t="n">
        <v>10</v>
      </c>
      <c r="D6">
        <f>B6*C6</f>
        <v/>
      </c>
      <c r="E6" s="4" t="n">
        <v>300</v>
      </c>
      <c r="F6">
        <f>B6*E6</f>
        <v/>
      </c>
    </row>
    <row r="7">
      <c r="A7" t="inlineStr">
        <is>
          <t>캐릭터 세트 완성</t>
        </is>
      </c>
      <c r="B7" t="n">
        <v>1</v>
      </c>
      <c r="C7" s="4" t="n">
        <v>10</v>
      </c>
      <c r="D7">
        <f>B7*C7</f>
        <v/>
      </c>
      <c r="E7" s="4" t="n">
        <v>300</v>
      </c>
      <c r="F7">
        <f>B7*E7</f>
        <v/>
      </c>
    </row>
    <row r="8">
      <c r="A8" t="inlineStr">
        <is>
          <t>레전드 세트 완성</t>
        </is>
      </c>
      <c r="B8" t="n">
        <v>1</v>
      </c>
      <c r="C8" s="4" t="n">
        <v>10</v>
      </c>
      <c r="D8">
        <f>B8*C8</f>
        <v/>
      </c>
      <c r="E8" s="4" t="n">
        <v>300</v>
      </c>
      <c r="F8">
        <f>B8*E8</f>
        <v/>
      </c>
    </row>
    <row r="9">
      <c r="A9" t="inlineStr">
        <is>
          <t>도감 전체 완성</t>
        </is>
      </c>
      <c r="B9" t="n">
        <v>1</v>
      </c>
      <c r="C9" s="4" t="n">
        <v>100</v>
      </c>
      <c r="D9">
        <f>B9*C9</f>
        <v/>
      </c>
      <c r="E9" s="4" t="n">
        <v>3000</v>
      </c>
      <c r="F9">
        <f>B9*E9</f>
        <v/>
      </c>
    </row>
    <row r="10">
      <c r="A10" s="2" t="inlineStr">
        <is>
          <t>합계</t>
        </is>
      </c>
      <c r="D10" s="2">
        <f>SUM(D4:D9)</f>
        <v/>
      </c>
      <c r="F10">
        <f>SUM(F4:F9)</f>
        <v/>
      </c>
    </row>
    <row r="11">
      <c r="A11" t="inlineStr">
        <is>
          <t>검증 (417원이어야 해요)</t>
        </is>
      </c>
      <c r="D11">
        <f>IF(D10=417,"OK","확인 필요")</f>
        <v/>
      </c>
    </row>
    <row r="13">
      <c r="A13" s="3" t="inlineStr">
        <is>
          <t>광고 수익 손익분기</t>
        </is>
      </c>
    </row>
    <row r="14">
      <c r="A14" t="inlineStr">
        <is>
          <t>짧은 광고 eCPM (원)</t>
        </is>
      </c>
      <c r="B14" s="4" t="n"/>
      <c r="C14" t="inlineStr">
        <is>
          <t>앱인토스 대시보드에서 입력</t>
        </is>
      </c>
    </row>
    <row r="15">
      <c r="A15" t="inlineStr">
        <is>
          <t>긴 광고 eCPM (원)</t>
        </is>
      </c>
      <c r="B15" s="4" t="n"/>
      <c r="C15" t="inlineStr">
        <is>
          <t>앱인토스 대시보드에서 입력</t>
        </is>
      </c>
    </row>
    <row r="16">
      <c r="A16" t="inlineStr">
        <is>
          <t>기간(일)</t>
        </is>
      </c>
      <c r="B16" s="4" t="n">
        <v>30</v>
      </c>
    </row>
    <row r="17">
      <c r="A17" t="inlineStr">
        <is>
          <t>1인 하루 짧은 광고 수 (뽑기 3 + 포인트 8)</t>
        </is>
      </c>
      <c r="B17" s="4" t="n">
        <v>11</v>
      </c>
    </row>
    <row r="18">
      <c r="A18" t="inlineStr">
        <is>
          <t>1인 하루 긴 광고 수</t>
        </is>
      </c>
      <c r="B18" s="4" t="n">
        <v>1</v>
      </c>
    </row>
    <row r="19">
      <c r="A19" t="inlineStr">
        <is>
          <t>기간 내 1인 토스 지급(원, 시뮬 30일 중앙값)</t>
        </is>
      </c>
      <c r="B19" s="4" t="n">
        <v>83</v>
      </c>
    </row>
    <row r="21">
      <c r="A21" t="inlineStr">
        <is>
          <t>기간 내 1인 광고 수익(원)</t>
        </is>
      </c>
      <c r="B21">
        <f>IF(OR(B14="",B15=""),"eCPM 입력 필요",B16*(B17*B14+B18*B15)/1000)</f>
        <v/>
      </c>
    </row>
    <row r="22">
      <c r="A22" t="inlineStr">
        <is>
          <t>1인 순이익(원) = 광고 수익 − 토스 지급</t>
        </is>
      </c>
      <c r="B22">
        <f>IF(ISNUMBER(B21),B21-B19,"eCPM 입력 필요")</f>
        <v/>
      </c>
    </row>
    <row r="23">
      <c r="A23" t="inlineStr">
        <is>
          <t>손익분기 평균 eCPM (원, 모든 광고 동일 가정)</t>
        </is>
      </c>
      <c r="B23">
        <f>B19/(B16*(B17+B18)/1000)</f>
        <v/>
      </c>
    </row>
    <row r="24">
      <c r="A24" t="inlineStr">
        <is>
          <t>손익분기 짧은 광고 eCPM (긴 광고 eCPM 입력 시)</t>
        </is>
      </c>
      <c r="B24">
        <f>IF(B15="","긴 광고 eCPM 입력 필요",(B19*1000/B16-B18*B15)/B17)</f>
        <v/>
      </c>
    </row>
    <row r="25">
      <c r="A25" t="inlineStr">
        <is>
          <t>최대 지급 417원 회수에 필요한 광고 수 (평균 eCPM 입력 시)</t>
        </is>
      </c>
      <c r="B25">
        <f>IF(B14="","eCPM 입력 필요",417*1000/B14)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18" customWidth="1" min="4" max="4"/>
    <col width="8" customWidth="1" min="5" max="5"/>
    <col width="10" customWidth="1" min="6" max="6"/>
  </cols>
  <sheetData>
    <row r="1">
      <c r="A1" s="2" t="inlineStr">
        <is>
          <t>시작 포인트: 300</t>
        </is>
      </c>
    </row>
    <row r="3">
      <c r="A3" s="5" t="inlineStr">
        <is>
          <t>구분</t>
        </is>
      </c>
      <c r="B3" s="5" t="inlineStr">
        <is>
          <t>id</t>
        </is>
      </c>
      <c r="C3" s="5" t="inlineStr">
        <is>
          <t>이름</t>
        </is>
      </c>
      <c r="D3" s="5" t="inlineStr">
        <is>
          <t>등급</t>
        </is>
      </c>
      <c r="E3" s="5" t="inlineStr">
        <is>
          <t>코지</t>
        </is>
      </c>
      <c r="F3" s="5" t="inlineStr">
        <is>
          <t>가격 환산</t>
        </is>
      </c>
    </row>
    <row r="4">
      <c r="A4" t="inlineStr">
        <is>
          <t>첫 방 배치 (히어로 고양이 포함)</t>
        </is>
      </c>
      <c r="B4" t="inlineStr">
        <is>
          <t>catbed</t>
        </is>
      </c>
      <c r="C4" t="inlineStr">
        <is>
          <t>동글 쿠션 침대</t>
        </is>
      </c>
      <c r="D4" t="inlineStr">
        <is>
          <t>일반 가구</t>
        </is>
      </c>
      <c r="E4" t="n">
        <v>10</v>
      </c>
      <c r="F4" t="n">
        <v>300</v>
      </c>
    </row>
    <row r="5">
      <c r="A5" t="inlineStr">
        <is>
          <t>첫 방 배치</t>
        </is>
      </c>
      <c r="B5" t="inlineStr">
        <is>
          <t>floorlamp</t>
        </is>
      </c>
      <c r="C5" t="inlineStr">
        <is>
          <t>플로어 램프</t>
        </is>
      </c>
      <c r="D5" t="inlineStr">
        <is>
          <t>일반 가구</t>
        </is>
      </c>
      <c r="E5" t="n">
        <v>10</v>
      </c>
      <c r="F5" t="n">
        <v>220</v>
      </c>
    </row>
    <row r="6">
      <c r="A6" t="inlineStr">
        <is>
          <t>첫 방 배치</t>
        </is>
      </c>
      <c r="B6" t="inlineStr">
        <is>
          <t>plant</t>
        </is>
      </c>
      <c r="C6" t="inlineStr">
        <is>
          <t>발바닥 화분</t>
        </is>
      </c>
      <c r="D6" t="inlineStr">
        <is>
          <t>작은 소품</t>
        </is>
      </c>
      <c r="E6" t="n">
        <v>4</v>
      </c>
      <c r="F6" t="n">
        <v>90</v>
      </c>
    </row>
    <row r="7">
      <c r="A7" t="inlineStr">
        <is>
          <t>첫 방 배치</t>
        </is>
      </c>
      <c r="B7" t="inlineStr">
        <is>
          <t>pawrug</t>
        </is>
      </c>
      <c r="C7" t="inlineStr">
        <is>
          <t>발바닥 러그</t>
        </is>
      </c>
      <c r="D7" t="inlineStr">
        <is>
          <t>작은 소품</t>
        </is>
      </c>
      <c r="E7" t="n">
        <v>4</v>
      </c>
      <c r="F7" t="n">
        <v>150</v>
      </c>
    </row>
    <row r="8">
      <c r="A8" t="inlineStr">
        <is>
          <t>첫 방 배치</t>
        </is>
      </c>
      <c r="B8" t="inlineStr">
        <is>
          <t>archwindow</t>
        </is>
      </c>
      <c r="C8" t="inlineStr">
        <is>
          <t>커튼 창문</t>
        </is>
      </c>
      <c r="D8" t="inlineStr">
        <is>
          <t>벽 꾸미기</t>
        </is>
      </c>
      <c r="E8" t="n">
        <v>6</v>
      </c>
      <c r="F8" t="n">
        <v>200</v>
      </c>
    </row>
    <row r="9">
      <c r="A9" t="inlineStr">
        <is>
          <t>첫 방 배치</t>
        </is>
      </c>
      <c r="B9" t="inlineStr">
        <is>
          <t>cardframe</t>
        </is>
      </c>
      <c r="C9" t="inlineStr">
        <is>
          <t>리본 카드 액자</t>
        </is>
      </c>
      <c r="D9" t="inlineStr">
        <is>
          <t>벽 꾸미기</t>
        </is>
      </c>
      <c r="E9" t="n">
        <v>6</v>
      </c>
      <c r="F9" t="n">
        <v>100</v>
      </c>
    </row>
    <row r="10">
      <c r="A10" t="inlineStr">
        <is>
          <t>첫 방 기본 바닥</t>
        </is>
      </c>
      <c r="B10" t="inlineStr">
        <is>
          <t>floor_wood_honey</t>
        </is>
      </c>
      <c r="C10" t="inlineStr">
        <is>
          <t>꿀빛 원목</t>
        </is>
      </c>
      <c r="D10" t="inlineStr">
        <is>
          <t>벽지/바닥</t>
        </is>
      </c>
      <c r="E10" t="n">
        <v>8</v>
      </c>
      <c r="F10" t="n">
        <v>0</v>
      </c>
    </row>
    <row r="11">
      <c r="A11" t="inlineStr">
        <is>
          <t>첫 방 기본 벽지</t>
        </is>
      </c>
      <c r="B11" t="inlineStr">
        <is>
          <t>wall_plum_sparkle</t>
        </is>
      </c>
      <c r="C11" t="inlineStr">
        <is>
          <t>플럼 반짝이</t>
        </is>
      </c>
      <c r="D11" t="inlineStr">
        <is>
          <t>벽지/바닥</t>
        </is>
      </c>
      <c r="E11" t="n">
        <v>8</v>
      </c>
      <c r="F11" t="n">
        <v>0</v>
      </c>
    </row>
    <row r="12">
      <c r="A12" t="inlineStr">
        <is>
          <t>서랍</t>
        </is>
      </c>
      <c r="B12" t="inlineStr">
        <is>
          <t>floor_check_pink</t>
        </is>
      </c>
      <c r="C12" t="inlineStr">
        <is>
          <t>핑크 체크</t>
        </is>
      </c>
      <c r="D12" t="inlineStr">
        <is>
          <t>벽지/바닥</t>
        </is>
      </c>
      <c r="E12" t="n">
        <v>8</v>
      </c>
      <c r="F12" t="n">
        <v>240</v>
      </c>
    </row>
    <row r="13">
      <c r="A13" t="inlineStr">
        <is>
          <t>서랍</t>
        </is>
      </c>
      <c r="B13" t="inlineStr">
        <is>
          <t>wall_mint_gingham</t>
        </is>
      </c>
      <c r="C13" t="inlineStr">
        <is>
          <t>민트 깅엄</t>
        </is>
      </c>
      <c r="D13" t="inlineStr">
        <is>
          <t>벽지/바닥</t>
        </is>
      </c>
      <c r="E13" t="n">
        <v>8</v>
      </c>
      <c r="F13" t="n">
        <v>240</v>
      </c>
    </row>
    <row r="14">
      <c r="A14" t="inlineStr">
        <is>
          <t>서랍</t>
        </is>
      </c>
      <c r="B14" t="inlineStr">
        <is>
          <t>cushions</t>
        </is>
      </c>
      <c r="C14" t="inlineStr">
        <is>
          <t>방석 더미</t>
        </is>
      </c>
      <c r="D14" t="inlineStr">
        <is>
          <t>작은 소품</t>
        </is>
      </c>
      <c r="E14" t="n">
        <v>4</v>
      </c>
      <c r="F14" t="n">
        <v>100</v>
      </c>
    </row>
    <row r="15">
      <c r="A15" t="inlineStr">
        <is>
          <t>서랍</t>
        </is>
      </c>
      <c r="B15" t="inlineStr">
        <is>
          <t>yarnbasket</t>
        </is>
      </c>
      <c r="C15" t="inlineStr">
        <is>
          <t>털실 바구니</t>
        </is>
      </c>
      <c r="D15" t="inlineStr">
        <is>
          <t>작은 소품</t>
        </is>
      </c>
      <c r="E15" t="n">
        <v>4</v>
      </c>
      <c r="F15" t="n">
        <v>90</v>
      </c>
    </row>
    <row r="16">
      <c r="A16" t="inlineStr">
        <is>
          <t>출석 1일차</t>
        </is>
      </c>
      <c r="B16" t="inlineStr">
        <is>
          <t>catcactus</t>
        </is>
      </c>
      <c r="C16" t="inlineStr">
        <is>
          <t>냥이 선인장</t>
        </is>
      </c>
      <c r="D16" t="inlineStr">
        <is>
          <t>작은 소품</t>
        </is>
      </c>
      <c r="E16" t="n">
        <v>4</v>
      </c>
      <c r="F16" t="n">
        <v>80</v>
      </c>
    </row>
    <row r="17">
      <c r="A17" t="inlineStr">
        <is>
          <t>출석 2일차</t>
        </is>
      </c>
      <c r="B17" t="inlineStr">
        <is>
          <t>calendar</t>
        </is>
      </c>
      <c r="C17" t="inlineStr">
        <is>
          <t>발바닥 달력</t>
        </is>
      </c>
      <c r="D17" t="inlineStr">
        <is>
          <t>벽 꾸미기</t>
        </is>
      </c>
      <c r="E17" t="n">
        <v>6</v>
      </c>
      <c r="F17" t="n">
        <v>100</v>
      </c>
    </row>
    <row r="18">
      <c r="A18" t="inlineStr">
        <is>
          <t>출석 3일차</t>
        </is>
      </c>
      <c r="B18" t="inlineStr">
        <is>
          <t>starlight</t>
        </is>
      </c>
      <c r="C18" t="inlineStr">
        <is>
          <t>별 수면등</t>
        </is>
      </c>
      <c r="D18" t="inlineStr">
        <is>
          <t>작은 소품</t>
        </is>
      </c>
      <c r="E18" t="n">
        <v>4</v>
      </c>
      <c r="F18" t="n">
        <v>110</v>
      </c>
    </row>
    <row r="19">
      <c r="A19" t="inlineStr">
        <is>
          <t>출석 4일차</t>
        </is>
      </c>
      <c r="B19" t="inlineStr">
        <is>
          <t>bunting</t>
        </is>
      </c>
      <c r="C19" t="inlineStr">
        <is>
          <t>발바닥 가랜드</t>
        </is>
      </c>
      <c r="D19" t="inlineStr">
        <is>
          <t>벽 꾸미기</t>
        </is>
      </c>
      <c r="E19" t="n">
        <v>6</v>
      </c>
      <c r="F19" t="n">
        <v>130</v>
      </c>
    </row>
    <row r="20">
      <c r="A20" t="inlineStr">
        <is>
          <t>출석 5일차</t>
        </is>
      </c>
      <c r="B20" t="inlineStr">
        <is>
          <t>globe</t>
        </is>
      </c>
      <c r="C20" t="inlineStr">
        <is>
          <t>지구본</t>
        </is>
      </c>
      <c r="D20" t="inlineStr">
        <is>
          <t>작은 소품</t>
        </is>
      </c>
      <c r="E20" t="n">
        <v>4</v>
      </c>
      <c r="F20" t="n">
        <v>120</v>
      </c>
    </row>
    <row r="21">
      <c r="A21" t="inlineStr">
        <is>
          <t>출석 6일차</t>
        </is>
      </c>
      <c r="B21" t="inlineStr">
        <is>
          <t>fishbowl</t>
        </is>
      </c>
      <c r="C21" t="inlineStr">
        <is>
          <t>금붕어 어항</t>
        </is>
      </c>
      <c r="D21" t="inlineStr">
        <is>
          <t>작은 소품</t>
        </is>
      </c>
      <c r="E21" t="n">
        <v>4</v>
      </c>
      <c r="F21" t="n">
        <v>120</v>
      </c>
    </row>
    <row r="22">
      <c r="A22" t="inlineStr">
        <is>
          <t>출석 7일차</t>
        </is>
      </c>
      <c r="B22" t="inlineStr">
        <is>
          <t>cattower</t>
        </is>
      </c>
      <c r="C22" t="inlineStr">
        <is>
          <t>캣타워</t>
        </is>
      </c>
      <c r="D22" t="inlineStr">
        <is>
          <t>큰/테마 대표 가구</t>
        </is>
      </c>
      <c r="E22" t="n">
        <v>25</v>
      </c>
      <c r="F22" t="n">
        <v>600</v>
      </c>
    </row>
    <row r="23">
      <c r="A23" s="2" t="inlineStr">
        <is>
          <t>합계</t>
        </is>
      </c>
      <c r="E23">
        <f>SUM(E4:E22)</f>
        <v/>
      </c>
      <c r="F23">
        <f>SUM(F4:F22)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2" customWidth="1" min="3" max="3"/>
    <col width="46" customWidth="1" min="4" max="4"/>
    <col width="40" customWidth="1" min="5" max="5"/>
    <col width="30" customWidth="1" min="6" max="6"/>
  </cols>
  <sheetData>
    <row r="1">
      <c r="A1" s="5" t="inlineStr">
        <is>
          <t>단계</t>
        </is>
      </c>
      <c r="B1" s="5" t="inlineStr">
        <is>
          <t>화면</t>
        </is>
      </c>
      <c r="C1" s="5" t="inlineStr">
        <is>
          <t>대상 요소</t>
        </is>
      </c>
      <c r="D1" s="5" t="inlineStr">
        <is>
          <t>문구</t>
        </is>
      </c>
      <c r="E1" s="5" t="inlineStr">
        <is>
          <t>토스트/보조</t>
        </is>
      </c>
      <c r="F1" s="5" t="inlineStr">
        <is>
          <t>동작</t>
        </is>
      </c>
    </row>
    <row r="2">
      <c r="A2" t="n">
        <v>1</v>
      </c>
      <c r="B2" t="inlineStr">
        <is>
          <t>main</t>
        </is>
      </c>
      <c r="C2" t="inlineStr">
        <is>
          <t>#stage-cat</t>
        </is>
      </c>
      <c r="D2" t="inlineStr">
        <is>
          <t>톡, 깨워 볼까요?</t>
        </is>
      </c>
      <c r="E2" t="inlineStr">
        <is>
          <t>첫 뽑기는 광고 없이 무료예요</t>
        </is>
      </c>
      <c r="F2" t="inlineStr">
        <is>
          <t>tap</t>
        </is>
      </c>
    </row>
    <row r="3">
      <c r="A3" t="n">
        <v>2</v>
      </c>
      <c r="B3" t="inlineStr">
        <is>
          <t>draw-reveal</t>
        </is>
      </c>
      <c r="C3" t="inlineStr">
        <is>
          <t>#reveal-card</t>
        </is>
      </c>
      <c r="D3" t="inlineStr">
        <is>
          <t>오늘의 행운 문구가 도착했어요</t>
        </is>
      </c>
      <c r="E3" t="inlineStr">
        <is>
          <t>도감에 등록됐어요! 토스 1원 받았어요</t>
        </is>
      </c>
      <c r="F3" t="inlineStr">
        <is>
          <t>tap #btn-to-dex (도감에 넣기)</t>
        </is>
      </c>
    </row>
    <row r="4">
      <c r="A4" t="n">
        <v>3</v>
      </c>
      <c r="B4" t="inlineStr">
        <is>
          <t>main→dex</t>
        </is>
      </c>
      <c r="C4" t="inlineStr">
        <is>
          <t>#icon-dex</t>
        </is>
      </c>
      <c r="D4" t="inlineStr">
        <is>
          <t>도감에서 모은 카드를 볼 수 있어요</t>
        </is>
      </c>
      <c r="E4" t="inlineStr">
        <is>
          <t>방금 뽑은 카드가 여기 들어갔어요</t>
        </is>
      </c>
      <c r="F4" t="inlineStr">
        <is>
          <t>tap</t>
        </is>
      </c>
    </row>
    <row r="5">
      <c r="A5" t="n">
        <v>4</v>
      </c>
      <c r="B5" t="inlineStr">
        <is>
          <t>room</t>
        </is>
      </c>
      <c r="C5" t="inlineStr">
        <is>
          <t>#drawer-item-0</t>
        </is>
      </c>
      <c r="D5" t="inlineStr">
        <is>
          <t>서랍에서 아이템을 꺼내 방에 놓아 보세요</t>
        </is>
      </c>
      <c r="E5" t="inlineStr">
        <is>
          <t>다 꾸몄으면 완료를 눌러요</t>
        </is>
      </c>
      <c r="F5" t="inlineStr">
        <is>
          <t>drag + tap 완료</t>
        </is>
      </c>
    </row>
    <row r="7">
      <c r="A7" t="inlineStr">
        <is>
          <t>건너뛰기: 모든 단계 우상단 "건너뛰기", 보상은 그대로 지급. 1분 이내.</t>
        </is>
      </c>
    </row>
    <row r="9">
      <c r="A9" s="5" t="inlineStr">
        <is>
          <t>일차</t>
        </is>
      </c>
      <c r="B9" s="5" t="inlineStr">
        <is>
          <t>id</t>
        </is>
      </c>
      <c r="C9" s="5" t="inlineStr">
        <is>
          <t>대상 요소</t>
        </is>
      </c>
      <c r="D9" s="5" t="inlineStr">
        <is>
          <t>새 기능 말풍선 문구</t>
        </is>
      </c>
    </row>
    <row r="10">
      <c r="A10" t="n">
        <v>2</v>
      </c>
      <c r="B10" t="inlineStr">
        <is>
          <t>intro-extra-draws</t>
        </is>
      </c>
      <c r="C10" t="inlineStr">
        <is>
          <t>#chip-draws</t>
        </is>
      </c>
      <c r="D10" t="inlineStr">
        <is>
          <t>광고를 보면 하루 2번 더 뽑을 수 있어요</t>
        </is>
      </c>
    </row>
    <row r="11">
      <c r="A11" t="n">
        <v>3</v>
      </c>
      <c r="B11" t="inlineStr">
        <is>
          <t>intro-rateup</t>
        </is>
      </c>
      <c r="C11" t="inlineStr">
        <is>
          <t>#btn-rateup</t>
        </is>
      </c>
      <c r="D11" t="inlineStr">
        <is>
          <t>확률업 뽑기가 열렸어요! 레어 이상이 더 잘 나와요</t>
        </is>
      </c>
    </row>
    <row r="12">
      <c r="A12" t="n">
        <v>4</v>
      </c>
      <c r="B12" t="inlineStr">
        <is>
          <t>intro-paw-ads</t>
        </is>
      </c>
      <c r="C12" t="inlineStr">
        <is>
          <t>#btn-paw-ad</t>
        </is>
      </c>
      <c r="D12" t="inlineStr">
        <is>
          <t>광고 보고 포인트 10개 받아요 (하루 10번까지)</t>
        </is>
      </c>
    </row>
    <row r="13">
      <c r="A13" t="n">
        <v>5</v>
      </c>
      <c r="B13" t="inlineStr">
        <is>
          <t>intro-dup-convert</t>
        </is>
      </c>
      <c r="C13" t="inlineStr">
        <is>
          <t>#dex-dup-convert</t>
        </is>
      </c>
      <c r="D13" t="inlineStr">
        <is>
          <t>겹친 카드는 포인트로 바꿀 수 있어요</t>
        </is>
      </c>
    </row>
    <row r="14">
      <c r="A14" t="n">
        <v>6</v>
      </c>
      <c r="B14" t="inlineStr">
        <is>
          <t>intro-cozy</t>
        </is>
      </c>
      <c r="C14" t="inlineStr">
        <is>
          <t>#cozy-meter</t>
        </is>
      </c>
      <c r="D14" t="inlineStr">
        <is>
          <t>아이템을 모을수록 아늑함 레벨이 올라가요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32" customWidth="1" min="2" max="2"/>
    <col width="34" customWidth="1" min="3" max="3"/>
    <col width="14" customWidth="1" min="4" max="4"/>
    <col width="24" customWidth="1" min="5" max="5"/>
  </cols>
  <sheetData>
    <row r="1">
      <c r="A1" s="5" t="inlineStr">
        <is>
          <t>지표</t>
        </is>
      </c>
      <c r="B1" s="5" t="inlineStr">
        <is>
          <t>정의</t>
        </is>
      </c>
      <c r="C1" s="5" t="inlineStr">
        <is>
          <t>계산</t>
        </is>
      </c>
      <c r="D1" s="5" t="inlineStr">
        <is>
          <t>목표 (입력)</t>
        </is>
      </c>
      <c r="E1" s="5" t="inlineStr">
        <is>
          <t>데이터</t>
        </is>
      </c>
    </row>
    <row r="2">
      <c r="A2" t="inlineStr">
        <is>
          <t>D1 리텐션</t>
        </is>
      </c>
      <c r="B2" t="inlineStr">
        <is>
          <t>설치 다음 날 재방문 비율</t>
        </is>
      </c>
      <c r="C2" t="inlineStr">
        <is>
          <t>D1 방문자 / 설치자</t>
        </is>
      </c>
      <c r="D2" s="4" t="inlineStr"/>
      <c r="E2" t="inlineStr">
        <is>
          <t>앱인토스 대시보드</t>
        </is>
      </c>
    </row>
    <row r="3">
      <c r="A3" t="inlineStr">
        <is>
          <t>D7 리텐션</t>
        </is>
      </c>
      <c r="B3" t="inlineStr">
        <is>
          <t>7일차 재방문 비율</t>
        </is>
      </c>
      <c r="C3" t="inlineStr">
        <is>
          <t>D7 방문자 / 설치자</t>
        </is>
      </c>
      <c r="D3" s="4" t="inlineStr"/>
      <c r="E3" t="inlineStr">
        <is>
          <t>앱인토스 대시보드</t>
        </is>
      </c>
    </row>
    <row r="4">
      <c r="A4" t="inlineStr">
        <is>
          <t>광고 시청 / DAU</t>
        </is>
      </c>
      <c r="B4" t="inlineStr">
        <is>
          <t>하루 1인당 광고 완료 수</t>
        </is>
      </c>
      <c r="C4" t="inlineStr">
        <is>
          <t>광고 완료 콜백 수 / DAU</t>
        </is>
      </c>
      <c r="D4" s="4" t="inlineStr"/>
      <c r="E4" t="inlineStr">
        <is>
          <t>서버 로그 (ad_complete)</t>
        </is>
      </c>
    </row>
    <row r="5">
      <c r="A5" t="inlineStr">
        <is>
          <t>광고 수익 / 유저</t>
        </is>
      </c>
      <c r="B5" t="inlineStr">
        <is>
          <t>1인당 일 광고 수익</t>
        </is>
      </c>
      <c r="C5" t="inlineStr">
        <is>
          <t>광고 수익 / DAU</t>
        </is>
      </c>
      <c r="D5" s="4" t="inlineStr"/>
      <c r="E5" t="inlineStr">
        <is>
          <t>앱인토스 대시보드</t>
        </is>
      </c>
    </row>
    <row r="6">
      <c r="A6" t="inlineStr">
        <is>
          <t>토스 지급 / 유저</t>
        </is>
      </c>
      <c r="B6" t="inlineStr">
        <is>
          <t>1인당 누적 토스 지급</t>
        </is>
      </c>
      <c r="C6" t="inlineStr">
        <is>
          <t>토스 지급 합 / 누적 유저</t>
        </is>
      </c>
      <c r="D6" s="4" t="inlineStr"/>
      <c r="E6" t="inlineStr">
        <is>
          <t>서버 reward_ledger</t>
        </is>
      </c>
    </row>
    <row r="7">
      <c r="A7" t="inlineStr">
        <is>
          <t>도감 완성률</t>
        </is>
      </c>
      <c r="B7" t="inlineStr">
        <is>
          <t>유저별 보유 카드 / 107 분포</t>
        </is>
      </c>
      <c r="C7" t="inlineStr">
        <is>
          <t>보유 카드 수 중앙값 / 107</t>
        </is>
      </c>
      <c r="D7" s="4" t="inlineStr"/>
      <c r="E7" t="inlineStr">
        <is>
          <t>서버 dex</t>
        </is>
      </c>
    </row>
    <row r="8">
      <c r="A8" t="inlineStr">
        <is>
          <t>뽑기 슬롯 사용률</t>
        </is>
      </c>
      <c r="B8" t="inlineStr">
        <is>
          <t>하루 4회 중 사용</t>
        </is>
      </c>
      <c r="C8" t="inlineStr">
        <is>
          <t>사용 뽑기 / (DAU×4)</t>
        </is>
      </c>
      <c r="D8" s="4" t="inlineStr"/>
      <c r="E8" t="inlineStr">
        <is>
          <t>서버 draws</t>
        </is>
      </c>
    </row>
    <row r="9">
      <c r="A9" t="inlineStr">
        <is>
          <t>포인트 수지</t>
        </is>
      </c>
      <c r="B9" t="inlineStr">
        <is>
          <t>발행 vs 소비</t>
        </is>
      </c>
      <c r="C9" t="inlineStr">
        <is>
          <t>발행 포인트 − 소비 포인트 (일별)</t>
        </is>
      </c>
      <c r="D9" s="4" t="inlineStr"/>
      <c r="E9" t="inlineStr">
        <is>
          <t>서버 paw_ledger</t>
        </is>
      </c>
    </row>
    <row r="10">
      <c r="A10" t="inlineStr">
        <is>
          <t>방 해금률</t>
        </is>
      </c>
      <c r="B10" t="inlineStr">
        <is>
          <t>카페/온실 해금 유저 비율</t>
        </is>
      </c>
      <c r="C10" t="inlineStr">
        <is>
          <t>해금 유저 / 활성 유저</t>
        </is>
      </c>
      <c r="D10" s="4" t="inlineStr"/>
      <c r="E10" t="inlineStr">
        <is>
          <t>서버 rooms</t>
        </is>
      </c>
    </row>
    <row r="11">
      <c r="A11" t="inlineStr">
        <is>
          <t>튜토리얼 완료율</t>
        </is>
      </c>
      <c r="B11" t="inlineStr">
        <is>
          <t>4단계 완료 or 건너뛰기</t>
        </is>
      </c>
      <c r="C11" t="inlineStr">
        <is>
          <t>완료 / 시작</t>
        </is>
      </c>
      <c r="D11" s="4" t="inlineStr"/>
      <c r="E11" t="inlineStr">
        <is>
          <t>클라이언트 이벤트</t>
        </is>
      </c>
    </row>
    <row r="13">
      <c r="A13" s="2" t="inlineStr">
        <is>
          <t>운영 이벤트</t>
        </is>
      </c>
    </row>
    <row r="14">
      <c r="A14" t="inlineStr">
        <is>
          <t>월간 카드팩: 새 카드 추가 시 economy.json tossPayout·도감 수 재계산</t>
        </is>
      </c>
    </row>
    <row r="15">
      <c r="A15" t="inlineStr">
        <is>
          <t>시즌 방: 해금 5,000 포인트+, 기간 한정 노출</t>
        </is>
      </c>
    </row>
    <row r="16">
      <c r="A16" t="inlineStr">
        <is>
          <t>한정 아이템: 크리스마스 트리·선물 상자 (겨울 시즌)</t>
        </is>
      </c>
    </row>
    <row r="17">
      <c r="A17" t="inlineStr">
        <is>
          <t>주말 포인트 2배: 광고 포인트만, events.weekendDoublePaw</t>
        </is>
      </c>
    </row>
    <row r="18">
      <c r="A18" t="inlineStr">
        <is>
          <t>친구 초대: 서로 100 포인트 (제안값, 기본 꺼짐)</t>
        </is>
      </c>
    </row>
    <row r="19">
      <c r="A19" t="inlineStr">
        <is>
          <t>어뷰징 방지: 토스 1원은 토스 계정당 1회 서버 검증, 광고 보상은 광고 완료 콜백 후에만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2026-10-11T10:05:48Z</dcterms:created>
  <dcterms:modified xmlns:dcterms="http://purl.org/dc/terms/" xmlns:xsi="http://www.w3.org/2001/XMLSchema-instance" xsi:type="dcterms:W3CDTF">2026-10-11T10:05:48Z</dcterms:modified>
</cp:coreProperties>
</file>