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요약" sheetId="1" state="visible" r:id="rId3"/>
    <sheet name="포인트 경제" sheetId="2" state="visible" r:id="rId4"/>
    <sheet name="아이템 가격" sheetId="3" state="visible" r:id="rId5"/>
    <sheet name="방" sheetId="4" state="visible" r:id="rId6"/>
    <sheet name="보상·토스 지급" sheetId="5" state="visible" r:id="rId7"/>
    <sheet name="신규 지급" sheetId="6" state="visible" r:id="rId8"/>
    <sheet name="튜토리얼" sheetId="7" state="visible" r:id="rId9"/>
    <sheet name="운영 지표" sheetId="8" state="visible" r:id="rId10"/>
  </sheets>
  <definedNames>
    <definedName function="false" hidden="true" localSheetId="2" name="_xlnm._FilterDatabase" vbProcedure="false">'아이템 가격'!$A$3:$J$147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<sst xmlns="http://schemas.openxmlformats.org/spreadsheetml/2006/main" count="1220" uniqueCount="538">
  <si>
    <t xml:space="preserve">럭키캣 경제 설계 요약</t>
  </si>
  <si>
    <r>
      <rPr>
        <b val="true"/>
        <sz val="11"/>
        <rFont val="Noto Sans CJK SC"/>
        <family val="2"/>
      </rPr>
      <t xml:space="preserve">하루 포인트 수입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주간 평균</t>
    </r>
    <r>
      <rPr>
        <b val="true"/>
        <sz val="11"/>
        <rFont val="Cambria"/>
        <family val="0"/>
        <charset val="1"/>
      </rPr>
      <t xml:space="preserve">)</t>
    </r>
  </si>
  <si>
    <t xml:space="preserve">시작 포인트</t>
  </si>
  <si>
    <t xml:space="preserve">광고 포인트</t>
  </si>
  <si>
    <r>
      <rPr>
        <sz val="11"/>
        <color theme="1"/>
        <rFont val="Calibri"/>
        <family val="2"/>
        <charset val="1"/>
      </rPr>
      <t xml:space="preserve">10 × </t>
    </r>
    <r>
      <rPr>
        <sz val="11"/>
        <color theme="1"/>
        <rFont val="Noto Sans CJK SC"/>
        <family val="2"/>
      </rPr>
      <t xml:space="preserve">하루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회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최대 </t>
    </r>
    <r>
      <rPr>
        <sz val="11"/>
        <color theme="1"/>
        <rFont val="Calibri"/>
        <family val="2"/>
        <charset val="1"/>
      </rPr>
      <t xml:space="preserve">100</t>
    </r>
  </si>
  <si>
    <t xml:space="preserve">하루 뽑기</t>
  </si>
  <si>
    <r>
      <rPr>
        <sz val="11"/>
        <color theme="1"/>
        <rFont val="Noto Sans CJK SC"/>
        <family val="2"/>
      </rPr>
      <t xml:space="preserve">일반 </t>
    </r>
    <r>
      <rPr>
        <sz val="11"/>
        <color theme="1"/>
        <rFont val="Calibri"/>
        <family val="2"/>
        <charset val="1"/>
      </rPr>
      <t xml:space="preserve">3 (</t>
    </r>
    <r>
      <rPr>
        <sz val="11"/>
        <color theme="1"/>
        <rFont val="Noto Sans CJK SC"/>
        <family val="2"/>
      </rPr>
      <t xml:space="preserve">모두 짧은 광고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생애 첫 뽑기만 무료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Noto Sans CJK SC"/>
        <family val="2"/>
      </rPr>
      <t xml:space="preserve">확률업 </t>
    </r>
    <r>
      <rPr>
        <sz val="11"/>
        <color theme="1"/>
        <rFont val="Calibri"/>
        <family val="2"/>
        <charset val="1"/>
      </rPr>
      <t xml:space="preserve">1 (</t>
    </r>
    <r>
      <rPr>
        <sz val="11"/>
        <color theme="1"/>
        <rFont val="Noto Sans CJK SC"/>
        <family val="2"/>
      </rPr>
      <t xml:space="preserve">긴 광고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</si>
  <si>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인 최대 토스 지급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</si>
  <si>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코지 </t>
    </r>
    <r>
      <rPr>
        <b val="true"/>
        <sz val="11"/>
        <rFont val="Cambria"/>
        <family val="0"/>
        <charset val="1"/>
      </rPr>
      <t xml:space="preserve">Lv.5 / Lv.8</t>
    </r>
  </si>
  <si>
    <r>
      <rPr>
        <sz val="11"/>
        <color theme="1"/>
        <rFont val="Calibri"/>
        <family val="2"/>
        <charset val="1"/>
      </rPr>
      <t xml:space="preserve">200 / 280 </t>
    </r>
    <r>
      <rPr>
        <sz val="11"/>
        <color theme="1"/>
        <rFont val="Noto Sans CJK SC"/>
        <family val="2"/>
      </rPr>
      <t xml:space="preserve">코지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활성 유저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일 </t>
    </r>
    <r>
      <rPr>
        <sz val="11"/>
        <color theme="1"/>
        <rFont val="Calibri"/>
        <family val="2"/>
        <charset val="1"/>
      </rPr>
      <t xml:space="preserve">/ 28</t>
    </r>
    <r>
      <rPr>
        <sz val="11"/>
        <color theme="1"/>
        <rFont val="Noto Sans CJK SC"/>
        <family val="2"/>
      </rPr>
      <t xml:space="preserve">일차</t>
    </r>
    <r>
      <rPr>
        <sz val="11"/>
        <color theme="1"/>
        <rFont val="Calibri"/>
        <family val="2"/>
        <charset val="1"/>
      </rPr>
      <t xml:space="preserve">)</t>
    </r>
  </si>
  <si>
    <t xml:space="preserve">고양이 카페</t>
  </si>
  <si>
    <r>
      <rPr>
        <sz val="11"/>
        <color theme="1"/>
        <rFont val="Calibri"/>
        <family val="2"/>
        <charset val="1"/>
      </rPr>
      <t xml:space="preserve">1,500 </t>
    </r>
    <r>
      <rPr>
        <sz val="11"/>
        <color theme="1"/>
        <rFont val="Noto Sans CJK SC"/>
        <family val="2"/>
      </rPr>
      <t xml:space="preserve">포인트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코지 </t>
    </r>
    <r>
      <rPr>
        <sz val="11"/>
        <color theme="1"/>
        <rFont val="Calibri"/>
        <family val="2"/>
        <charset val="1"/>
      </rPr>
      <t xml:space="preserve">Lv.5</t>
    </r>
  </si>
  <si>
    <t xml:space="preserve">벚꽃 온실</t>
  </si>
  <si>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포인트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코지 </t>
    </r>
    <r>
      <rPr>
        <sz val="11"/>
        <color theme="1"/>
        <rFont val="Calibri"/>
        <family val="2"/>
        <charset val="1"/>
      </rPr>
      <t xml:space="preserve">Lv.8</t>
    </r>
  </si>
  <si>
    <t xml:space="preserve">가격이 매겨진 아이템 수</t>
  </si>
  <si>
    <r>
      <rPr>
        <b val="true"/>
        <sz val="11"/>
        <rFont val="Noto Sans CJK SC"/>
        <family val="2"/>
      </rPr>
      <t xml:space="preserve">광고 </t>
    </r>
    <r>
      <rPr>
        <b val="true"/>
        <sz val="11"/>
        <rFont val="Cambria"/>
        <family val="0"/>
        <charset val="1"/>
      </rPr>
      <t xml:space="preserve">eCPM</t>
    </r>
  </si>
  <si>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Noto Sans CJK SC"/>
        <family val="2"/>
      </rPr>
      <t xml:space="preserve">보상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토스 지급</t>
    </r>
    <r>
      <rPr>
        <sz val="11"/>
        <color theme="1"/>
        <rFont val="Calibri"/>
        <family val="2"/>
        <charset val="1"/>
      </rPr>
      <t xml:space="preserve">' </t>
    </r>
    <r>
      <rPr>
        <sz val="11"/>
        <color theme="1"/>
        <rFont val="Noto Sans CJK SC"/>
        <family val="2"/>
      </rPr>
      <t xml:space="preserve">시트 노란 칸에 앱인토스 대시보드 값 입력</t>
    </r>
  </si>
  <si>
    <r>
      <rPr>
        <b val="true"/>
        <sz val="11"/>
        <rFont val="Noto Sans CJK SC"/>
        <family val="2"/>
      </rPr>
      <t xml:space="preserve">손익분기 평균 </t>
    </r>
    <r>
      <rPr>
        <b val="true"/>
        <sz val="11"/>
        <rFont val="Cambria"/>
        <family val="0"/>
        <charset val="1"/>
      </rPr>
      <t xml:space="preserve">eCPM(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Cambria"/>
        <family val="0"/>
        <charset val="1"/>
      </rPr>
      <t xml:space="preserve">)</t>
    </r>
  </si>
  <si>
    <t xml:space="preserve">서버 설정 소스</t>
  </si>
  <si>
    <t xml:space="preserve">economy.json · prices.json · starter.json · tutorial.json</t>
  </si>
  <si>
    <r>
      <rPr>
        <b val="true"/>
        <sz val="13"/>
        <rFont val="Noto Sans CJK SC"/>
        <family val="2"/>
      </rPr>
      <t xml:space="preserve">포인트</t>
    </r>
    <r>
      <rPr>
        <b val="true"/>
        <sz val="13"/>
        <rFont val="Cambria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발바닥</t>
    </r>
    <r>
      <rPr>
        <b val="true"/>
        <sz val="13"/>
        <rFont val="Cambria"/>
        <family val="0"/>
        <charset val="1"/>
      </rPr>
      <t xml:space="preserve">) </t>
    </r>
    <r>
      <rPr>
        <b val="true"/>
        <sz val="13"/>
        <rFont val="Noto Sans CJK SC"/>
        <family val="2"/>
      </rPr>
      <t xml:space="preserve">경제 — 노란 칸은 입력값</t>
    </r>
  </si>
  <si>
    <r>
      <rPr>
        <sz val="11"/>
        <color theme="1"/>
        <rFont val="Noto Sans CJK SC"/>
        <family val="2"/>
      </rPr>
      <t xml:space="preserve">광고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회 포인트</t>
    </r>
  </si>
  <si>
    <r>
      <rPr>
        <sz val="11"/>
        <color theme="1"/>
        <rFont val="Noto Sans CJK SC"/>
        <family val="2"/>
      </rPr>
      <t xml:space="preserve">하루 광고 시청 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최대 </t>
    </r>
    <r>
      <rPr>
        <sz val="11"/>
        <color theme="1"/>
        <rFont val="Calibri"/>
        <family val="2"/>
        <charset val="1"/>
      </rPr>
      <t xml:space="preserve">10)</t>
    </r>
  </si>
  <si>
    <r>
      <rPr>
        <sz val="11"/>
        <color theme="1"/>
        <rFont val="Noto Sans CJK SC"/>
        <family val="2"/>
      </rPr>
      <t xml:space="preserve">하루 뽑기 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일반</t>
    </r>
    <r>
      <rPr>
        <sz val="11"/>
        <color theme="1"/>
        <rFont val="Calibri"/>
        <family val="2"/>
        <charset val="1"/>
      </rPr>
      <t xml:space="preserve">3+</t>
    </r>
    <r>
      <rPr>
        <sz val="11"/>
        <color theme="1"/>
        <rFont val="Noto Sans CJK SC"/>
        <family val="2"/>
      </rPr>
      <t xml:space="preserve">확률업</t>
    </r>
    <r>
      <rPr>
        <sz val="11"/>
        <color theme="1"/>
        <rFont val="Calibri"/>
        <family val="2"/>
        <charset val="1"/>
      </rPr>
      <t xml:space="preserve">1)</t>
    </r>
  </si>
  <si>
    <r>
      <rPr>
        <sz val="11"/>
        <color theme="1"/>
        <rFont val="Noto Sans CJK SC"/>
        <family val="2"/>
      </rPr>
      <t xml:space="preserve">새 카드 비율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초반 </t>
    </r>
    <r>
      <rPr>
        <sz val="11"/>
        <color theme="1"/>
        <rFont val="Calibri"/>
        <family val="2"/>
        <charset val="1"/>
      </rPr>
      <t xml:space="preserve">0.8 → </t>
    </r>
    <r>
      <rPr>
        <sz val="11"/>
        <color theme="1"/>
        <rFont val="Noto Sans CJK SC"/>
        <family val="2"/>
      </rPr>
      <t xml:space="preserve">한 달 후 </t>
    </r>
    <r>
      <rPr>
        <sz val="11"/>
        <color theme="1"/>
        <rFont val="Calibri"/>
        <family val="2"/>
        <charset val="1"/>
      </rPr>
      <t xml:space="preserve">0.3)</t>
    </r>
  </si>
  <si>
    <r>
      <rPr>
        <sz val="11"/>
        <color theme="1"/>
        <rFont val="Noto Sans CJK SC"/>
        <family val="2"/>
      </rPr>
      <t xml:space="preserve">새 카드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장 포인트</t>
    </r>
  </si>
  <si>
    <r>
      <rPr>
        <sz val="11"/>
        <color theme="1"/>
        <rFont val="Noto Sans CJK SC"/>
        <family val="2"/>
      </rPr>
      <t xml:space="preserve">중복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장 평균 포인트</t>
    </r>
  </si>
  <si>
    <r>
      <rPr>
        <sz val="11"/>
        <color theme="1"/>
        <rFont val="Noto Sans CJK SC"/>
        <family val="2"/>
      </rPr>
      <t xml:space="preserve">주말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배 적용 </t>
    </r>
    <r>
      <rPr>
        <sz val="11"/>
        <color theme="1"/>
        <rFont val="Calibri"/>
        <family val="2"/>
        <charset val="1"/>
      </rPr>
      <t xml:space="preserve">(1=</t>
    </r>
    <r>
      <rPr>
        <sz val="11"/>
        <color theme="1"/>
        <rFont val="Noto Sans CJK SC"/>
        <family val="2"/>
      </rPr>
      <t xml:space="preserve">예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</si>
  <si>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하루 포인트 수입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평일</t>
    </r>
    <r>
      <rPr>
        <b val="true"/>
        <sz val="11"/>
        <rFont val="Cambria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</si>
  <si>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← 다른 시트의 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Noto Sans CJK SC"/>
        <family val="2"/>
      </rPr>
      <t xml:space="preserve">며칠 모으면</t>
    </r>
    <r>
      <rPr>
        <sz val="11"/>
        <color theme="1"/>
        <rFont val="Calibri"/>
        <family val="2"/>
        <charset val="1"/>
      </rPr>
      <t xml:space="preserve">" </t>
    </r>
    <r>
      <rPr>
        <sz val="11"/>
        <color theme="1"/>
        <rFont val="Noto Sans CJK SC"/>
        <family val="2"/>
      </rPr>
      <t xml:space="preserve">계산에 사용</t>
    </r>
  </si>
  <si>
    <r>
      <rPr>
        <sz val="11"/>
        <color theme="1"/>
        <rFont val="Noto Sans CJK SC"/>
        <family val="2"/>
      </rPr>
      <t xml:space="preserve">주간 평균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주말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배 반영</t>
    </r>
    <r>
      <rPr>
        <sz val="11"/>
        <color theme="1"/>
        <rFont val="Calibri"/>
        <family val="2"/>
        <charset val="1"/>
      </rPr>
      <t xml:space="preserve">)</t>
    </r>
  </si>
  <si>
    <t xml:space="preserve">중복 전환</t>
  </si>
  <si>
    <t xml:space="preserve">포인트</t>
  </si>
  <si>
    <r>
      <rPr>
        <sz val="11"/>
        <color theme="1"/>
        <rFont val="Noto Sans CJK SC"/>
        <family val="2"/>
      </rPr>
      <t xml:space="preserve">일반 </t>
    </r>
    <r>
      <rPr>
        <sz val="11"/>
        <color theme="1"/>
        <rFont val="Calibri"/>
        <family val="2"/>
        <charset val="1"/>
      </rPr>
      <t xml:space="preserve">(1–2★)</t>
    </r>
  </si>
  <si>
    <r>
      <rPr>
        <sz val="11"/>
        <color theme="1"/>
        <rFont val="Noto Sans CJK SC"/>
        <family val="2"/>
      </rPr>
      <t xml:space="preserve">레어 </t>
    </r>
    <r>
      <rPr>
        <sz val="11"/>
        <color theme="1"/>
        <rFont val="Calibri"/>
        <family val="2"/>
        <charset val="1"/>
      </rPr>
      <t xml:space="preserve">(3–5★)</t>
    </r>
  </si>
  <si>
    <t xml:space="preserve">스페셜</t>
  </si>
  <si>
    <t xml:space="preserve">캐릭터</t>
  </si>
  <si>
    <t xml:space="preserve">레전드</t>
  </si>
  <si>
    <r>
      <rPr>
        <b val="true"/>
        <sz val="11"/>
        <color rgb="FFFFFFFF"/>
        <rFont val="Noto Sans CJK SC"/>
        <family val="2"/>
      </rPr>
      <t xml:space="preserve">등급 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제안 확률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</si>
  <si>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일반 뽑기</t>
  </si>
  <si>
    <t xml:space="preserve">확률업 뽑기</t>
  </si>
  <si>
    <t xml:space="preserve">중복 포인트</t>
  </si>
  <si>
    <t xml:space="preserve">일반 뽑기 중복 기대값</t>
  </si>
  <si>
    <r>
      <rPr>
        <sz val="11"/>
        <color theme="1"/>
        <rFont val="Noto Sans CJK SC"/>
        <family val="2"/>
      </rPr>
      <t xml:space="preserve">품종 </t>
    </r>
    <r>
      <rPr>
        <sz val="11"/>
        <color theme="1"/>
        <rFont val="Calibri"/>
        <family val="2"/>
        <charset val="1"/>
      </rPr>
      <t xml:space="preserve">1★</t>
    </r>
  </si>
  <si>
    <r>
      <rPr>
        <sz val="11"/>
        <color theme="1"/>
        <rFont val="Noto Sans CJK SC"/>
        <family val="2"/>
      </rPr>
      <t xml:space="preserve">품종 </t>
    </r>
    <r>
      <rPr>
        <sz val="11"/>
        <color theme="1"/>
        <rFont val="Calibri"/>
        <family val="2"/>
        <charset val="1"/>
      </rPr>
      <t xml:space="preserve">2★</t>
    </r>
  </si>
  <si>
    <r>
      <rPr>
        <sz val="11"/>
        <color theme="1"/>
        <rFont val="Noto Sans CJK SC"/>
        <family val="2"/>
      </rPr>
      <t xml:space="preserve">품종 </t>
    </r>
    <r>
      <rPr>
        <sz val="11"/>
        <color theme="1"/>
        <rFont val="Calibri"/>
        <family val="2"/>
        <charset val="1"/>
      </rPr>
      <t xml:space="preserve">3★</t>
    </r>
  </si>
  <si>
    <r>
      <rPr>
        <sz val="11"/>
        <color theme="1"/>
        <rFont val="Noto Sans CJK SC"/>
        <family val="2"/>
      </rPr>
      <t xml:space="preserve">품종 </t>
    </r>
    <r>
      <rPr>
        <sz val="11"/>
        <color theme="1"/>
        <rFont val="Calibri"/>
        <family val="2"/>
        <charset val="1"/>
      </rPr>
      <t xml:space="preserve">4★</t>
    </r>
  </si>
  <si>
    <r>
      <rPr>
        <sz val="11"/>
        <color theme="1"/>
        <rFont val="Noto Sans CJK SC"/>
        <family val="2"/>
      </rPr>
      <t xml:space="preserve">품종 </t>
    </r>
    <r>
      <rPr>
        <sz val="11"/>
        <color theme="1"/>
        <rFont val="Calibri"/>
        <family val="2"/>
        <charset val="1"/>
      </rPr>
      <t xml:space="preserve">5★</t>
    </r>
  </si>
  <si>
    <r>
      <rPr>
        <b val="true"/>
        <sz val="11"/>
        <rFont val="Noto Sans CJK SC"/>
        <family val="2"/>
      </rPr>
      <t xml:space="preserve">합계 </t>
    </r>
    <r>
      <rPr>
        <b val="true"/>
        <sz val="11"/>
        <rFont val="Cambria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중복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장 기대 포인트</t>
    </r>
  </si>
  <si>
    <r>
      <rPr>
        <sz val="11"/>
        <color theme="1"/>
        <rFont val="Noto Sans CJK SC"/>
        <family val="2"/>
      </rPr>
      <t xml:space="preserve">확률은 제안값이에요 </t>
    </r>
    <r>
      <rPr>
        <sz val="11"/>
        <color theme="1"/>
        <rFont val="Calibri"/>
        <family val="2"/>
        <charset val="1"/>
      </rPr>
      <t xml:space="preserve">(economy.json draws.rates_proposal). </t>
    </r>
    <r>
      <rPr>
        <sz val="11"/>
        <color theme="1"/>
        <rFont val="Noto Sans CJK SC"/>
        <family val="2"/>
      </rPr>
      <t xml:space="preserve">확정 시 이 표와 서버 설정을 함께 바꿔요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</si>
  <si>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1"/>
        <rFont val="Noto Sans CJK SC"/>
        <family val="2"/>
      </rPr>
      <t xml:space="preserve">활성 유저 시뮬레이션 중앙값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광고 </t>
    </r>
    <r>
      <rPr>
        <b val="true"/>
        <sz val="11"/>
        <rFont val="Cambria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회</t>
    </r>
    <r>
      <rPr>
        <b val="true"/>
        <sz val="11"/>
        <rFont val="Cambria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뽑기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회</t>
    </r>
    <r>
      <rPr>
        <b val="true"/>
        <sz val="11"/>
        <rFont val="Cambria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일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하루 최대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개 구매</t>
    </r>
    <r>
      <rPr>
        <b val="true"/>
        <sz val="11"/>
        <rFont val="Cambria"/>
        <family val="0"/>
        <charset val="1"/>
      </rPr>
      <t xml:space="preserve">, 300</t>
    </r>
    <r>
      <rPr>
        <b val="true"/>
        <sz val="11"/>
        <rFont val="Noto Sans CJK SC"/>
        <family val="2"/>
      </rPr>
      <t xml:space="preserve">명</t>
    </r>
    <r>
      <rPr>
        <b val="true"/>
        <sz val="11"/>
        <rFont val="Cambria"/>
        <family val="0"/>
        <charset val="1"/>
      </rPr>
      <t xml:space="preserve">)</t>
    </r>
  </si>
  <si>
    <t xml:space="preserve">일차</t>
  </si>
  <si>
    <t xml:space="preserve">보유 포인트</t>
  </si>
  <si>
    <t xml:space="preserve">코지 포인트</t>
  </si>
  <si>
    <t xml:space="preserve">도감 카드 수</t>
  </si>
  <si>
    <r>
      <rPr>
        <b val="true"/>
        <sz val="11"/>
        <color rgb="FFFFFFFF"/>
        <rFont val="Noto Sans CJK SC"/>
        <family val="2"/>
      </rPr>
      <t xml:space="preserve">누적 토스 지급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</si>
  <si>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보유 방 수</t>
  </si>
  <si>
    <r>
      <rPr>
        <sz val="11"/>
        <color theme="1"/>
        <rFont val="Noto Sans CJK SC"/>
        <family val="2"/>
      </rPr>
      <t xml:space="preserve">하루 수입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포인트</t>
    </r>
    <r>
      <rPr>
        <sz val="11"/>
        <color theme="1"/>
        <rFont val="Calibri"/>
        <family val="2"/>
        <charset val="1"/>
      </rPr>
      <t xml:space="preserve">)</t>
    </r>
  </si>
  <si>
    <t xml:space="preserve">id</t>
  </si>
  <si>
    <t xml:space="preserve">이름</t>
  </si>
  <si>
    <t xml:space="preserve">방</t>
  </si>
  <si>
    <t xml:space="preserve">분류</t>
  </si>
  <si>
    <t xml:space="preserve">등급</t>
  </si>
  <si>
    <t xml:space="preserve">가격</t>
  </si>
  <si>
    <t xml:space="preserve">코지</t>
  </si>
  <si>
    <t xml:space="preserve">며칠 모으면</t>
  </si>
  <si>
    <t xml:space="preserve">플래그</t>
  </si>
  <si>
    <t xml:space="preserve">파일</t>
  </si>
  <si>
    <t xml:space="preserve">cattower</t>
  </si>
  <si>
    <t xml:space="preserve">캣타워</t>
  </si>
  <si>
    <t xml:space="preserve">moon_bedroom</t>
  </si>
  <si>
    <t xml:space="preserve">가구</t>
  </si>
  <si>
    <r>
      <rPr>
        <sz val="11"/>
        <color theme="1"/>
        <rFont val="Noto Sans CJK SC"/>
        <family val="2"/>
      </rPr>
      <t xml:space="preserve">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테마 대표 가구</t>
    </r>
  </si>
  <si>
    <t xml:space="preserve">attendance</t>
  </si>
  <si>
    <t xml:space="preserve">room-assets-v6</t>
  </si>
  <si>
    <t xml:space="preserve">catbed</t>
  </si>
  <si>
    <t xml:space="preserve">동글 쿠션 침대</t>
  </si>
  <si>
    <t xml:space="preserve">일반 가구</t>
  </si>
  <si>
    <t xml:space="preserve">starterPlaced</t>
  </si>
  <si>
    <t xml:space="preserve">floorlamp</t>
  </si>
  <si>
    <t xml:space="preserve">플로어 램프</t>
  </si>
  <si>
    <t xml:space="preserve">cabinet</t>
  </si>
  <si>
    <t xml:space="preserve">발바닥 서랍장</t>
  </si>
  <si>
    <t xml:space="preserve">sofa</t>
  </si>
  <si>
    <t xml:space="preserve">핑크 소파</t>
  </si>
  <si>
    <t xml:space="preserve">scratcher</t>
  </si>
  <si>
    <t xml:space="preserve">스크래처 언덕</t>
  </si>
  <si>
    <t xml:space="preserve">bookshelf</t>
  </si>
  <si>
    <t xml:space="preserve">민트 책장</t>
  </si>
  <si>
    <t xml:space="preserve">tent</t>
  </si>
  <si>
    <t xml:space="preserve">냥귀 숨숨집</t>
  </si>
  <si>
    <t xml:space="preserve">teatable</t>
  </si>
  <si>
    <t xml:space="preserve">꽃병 티 테이블</t>
  </si>
  <si>
    <t xml:space="preserve">desk</t>
  </si>
  <si>
    <t xml:space="preserve">노트북 책상</t>
  </si>
  <si>
    <t xml:space="preserve">beanbag</t>
  </si>
  <si>
    <t xml:space="preserve">빈백</t>
  </si>
  <si>
    <t xml:space="preserve">radioclock</t>
  </si>
  <si>
    <t xml:space="preserve">냥이 라디오 시계</t>
  </si>
  <si>
    <t xml:space="preserve">bed</t>
  </si>
  <si>
    <t xml:space="preserve">퀼트 침대</t>
  </si>
  <si>
    <t xml:space="preserve">fridge</t>
  </si>
  <si>
    <t xml:space="preserve">민트 냉장고</t>
  </si>
  <si>
    <t xml:space="preserve">feeder</t>
  </si>
  <si>
    <t xml:space="preserve">물고기 급식대</t>
  </si>
  <si>
    <t xml:space="preserve">catchair</t>
  </si>
  <si>
    <t xml:space="preserve">냥귀 안락의자</t>
  </si>
  <si>
    <t xml:space="preserve">plant</t>
  </si>
  <si>
    <t xml:space="preserve">발바닥 화분</t>
  </si>
  <si>
    <t xml:space="preserve">소품</t>
  </si>
  <si>
    <t xml:space="preserve">작은 소품</t>
  </si>
  <si>
    <t xml:space="preserve">monstera</t>
  </si>
  <si>
    <t xml:space="preserve">몬스테라</t>
  </si>
  <si>
    <t xml:space="preserve">fishbowl</t>
  </si>
  <si>
    <t xml:space="preserve">금붕어 어항</t>
  </si>
  <si>
    <t xml:space="preserve">moonlamp</t>
  </si>
  <si>
    <t xml:space="preserve">달 무드등</t>
  </si>
  <si>
    <t xml:space="preserve">yarnbasket</t>
  </si>
  <si>
    <t xml:space="preserve">털실 바구니</t>
  </si>
  <si>
    <t xml:space="preserve">starterDrawer</t>
  </si>
  <si>
    <t xml:space="preserve">cushions</t>
  </si>
  <si>
    <t xml:space="preserve">방석 더미</t>
  </si>
  <si>
    <t xml:space="preserve">pawrug</t>
  </si>
  <si>
    <t xml:space="preserve">발바닥 러그</t>
  </si>
  <si>
    <t xml:space="preserve">xmastree</t>
  </si>
  <si>
    <t xml:space="preserve">미니 트리</t>
  </si>
  <si>
    <t xml:space="preserve">limited</t>
  </si>
  <si>
    <t xml:space="preserve">maneki</t>
  </si>
  <si>
    <t xml:space="preserve">마네키네코</t>
  </si>
  <si>
    <t xml:space="preserve">gramophone</t>
  </si>
  <si>
    <t xml:space="preserve">축음기</t>
  </si>
  <si>
    <t xml:space="preserve">globe</t>
  </si>
  <si>
    <t xml:space="preserve">지구본</t>
  </si>
  <si>
    <t xml:space="preserve">catcactus</t>
  </si>
  <si>
    <t xml:space="preserve">냥이 선인장</t>
  </si>
  <si>
    <t xml:space="preserve">archmirror</t>
  </si>
  <si>
    <t xml:space="preserve">아치 거울</t>
  </si>
  <si>
    <t xml:space="preserve">aquarium</t>
  </si>
  <si>
    <t xml:space="preserve">수족관 장</t>
  </si>
  <si>
    <t xml:space="preserve">starlight</t>
  </si>
  <si>
    <t xml:space="preserve">별 수면등</t>
  </si>
  <si>
    <t xml:space="preserve">gifts</t>
  </si>
  <si>
    <t xml:space="preserve">선물 상자</t>
  </si>
  <si>
    <t xml:space="preserve">archwindow</t>
  </si>
  <si>
    <t xml:space="preserve">커튼 창문</t>
  </si>
  <si>
    <t xml:space="preserve">벽 꾸미기</t>
  </si>
  <si>
    <t xml:space="preserve">porthole</t>
  </si>
  <si>
    <t xml:space="preserve">동그란 창</t>
  </si>
  <si>
    <t xml:space="preserve">squareframe</t>
  </si>
  <si>
    <t xml:space="preserve">네모 액자</t>
  </si>
  <si>
    <t xml:space="preserve">카드액자</t>
  </si>
  <si>
    <t xml:space="preserve">cardframe</t>
  </si>
  <si>
    <t xml:space="preserve">리본 카드 액자</t>
  </si>
  <si>
    <t xml:space="preserve">catclock</t>
  </si>
  <si>
    <t xml:space="preserve">냥이 벽시계</t>
  </si>
  <si>
    <t xml:space="preserve">fairylights</t>
  </si>
  <si>
    <t xml:space="preserve">꼬마전구</t>
  </si>
  <si>
    <t xml:space="preserve">wallshelf</t>
  </si>
  <si>
    <t xml:space="preserve">화분 선반</t>
  </si>
  <si>
    <t xml:space="preserve">bunting</t>
  </si>
  <si>
    <t xml:space="preserve">발바닥 가랜드</t>
  </si>
  <si>
    <t xml:space="preserve">starlamp</t>
  </si>
  <si>
    <t xml:space="preserve">별 벽등</t>
  </si>
  <si>
    <t xml:space="preserve">earmirror</t>
  </si>
  <si>
    <t xml:space="preserve">냥귀 거울</t>
  </si>
  <si>
    <t xml:space="preserve">moonmobile</t>
  </si>
  <si>
    <t xml:space="preserve">달 모빌</t>
  </si>
  <si>
    <t xml:space="preserve">corkboard</t>
  </si>
  <si>
    <t xml:space="preserve">메모 보드</t>
  </si>
  <si>
    <t xml:space="preserve">catsteps</t>
  </si>
  <si>
    <t xml:space="preserve">캣 스텝</t>
  </si>
  <si>
    <t xml:space="preserve">heartneon</t>
  </si>
  <si>
    <t xml:space="preserve">하트 네온</t>
  </si>
  <si>
    <t xml:space="preserve">dreamcatcher</t>
  </si>
  <si>
    <t xml:space="preserve">드림캐처</t>
  </si>
  <si>
    <t xml:space="preserve">calendar</t>
  </si>
  <si>
    <t xml:space="preserve">발바닥 달력</t>
  </si>
  <si>
    <t xml:space="preserve">floor_wood_honey</t>
  </si>
  <si>
    <t xml:space="preserve">꿀빛 원목</t>
  </si>
  <si>
    <t xml:space="preserve">바닥</t>
  </si>
  <si>
    <r>
      <rPr>
        <sz val="11"/>
        <color theme="1"/>
        <rFont val="Noto Sans CJK SC"/>
        <family val="2"/>
      </rPr>
      <t xml:space="preserve">벽지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바닥</t>
    </r>
  </si>
  <si>
    <t xml:space="preserve">roomDefault, starterPlaced</t>
  </si>
  <si>
    <t xml:space="preserve">floor_wood_oak</t>
  </si>
  <si>
    <t xml:space="preserve">밝은 오크</t>
  </si>
  <si>
    <t xml:space="preserve">floor_check_pink</t>
  </si>
  <si>
    <t xml:space="preserve">핑크 체크</t>
  </si>
  <si>
    <t xml:space="preserve">floor_check_mint</t>
  </si>
  <si>
    <t xml:space="preserve">민트 체크</t>
  </si>
  <si>
    <t xml:space="preserve">floor_herring_lav</t>
  </si>
  <si>
    <t xml:space="preserve">라벤더 헤링본</t>
  </si>
  <si>
    <t xml:space="preserve">floor_marble_cream</t>
  </si>
  <si>
    <t xml:space="preserve">크림 대리석</t>
  </si>
  <si>
    <t xml:space="preserve">floor_paw_tile</t>
  </si>
  <si>
    <t xml:space="preserve">발바닥 타일</t>
  </si>
  <si>
    <t xml:space="preserve">floor_star_navy</t>
  </si>
  <si>
    <t xml:space="preserve">별가루 네이비</t>
  </si>
  <si>
    <t xml:space="preserve">floor_carpet_pink</t>
  </si>
  <si>
    <t xml:space="preserve">몽글 핑크 카펫</t>
  </si>
  <si>
    <t xml:space="preserve">floor_meadow</t>
  </si>
  <si>
    <t xml:space="preserve">초록 들판</t>
  </si>
  <si>
    <t xml:space="preserve">floor_cloud</t>
  </si>
  <si>
    <t xml:space="preserve">구름 타일</t>
  </si>
  <si>
    <t xml:space="preserve">floor_terrazzo</t>
  </si>
  <si>
    <t xml:space="preserve">파스텔 테라조</t>
  </si>
  <si>
    <t xml:space="preserve">wall_plum_sparkle</t>
  </si>
  <si>
    <t xml:space="preserve">플럼 반짝이</t>
  </si>
  <si>
    <t xml:space="preserve">벽지</t>
  </si>
  <si>
    <t xml:space="preserve">wall_lav_stripe</t>
  </si>
  <si>
    <t xml:space="preserve">라벤더 줄무늬</t>
  </si>
  <si>
    <t xml:space="preserve">wall_pink_polka</t>
  </si>
  <si>
    <t xml:space="preserve">핑크 도트</t>
  </si>
  <si>
    <t xml:space="preserve">wall_mint_gingham</t>
  </si>
  <si>
    <t xml:space="preserve">민트 깅엄</t>
  </si>
  <si>
    <t xml:space="preserve">wall_cream_cats</t>
  </si>
  <si>
    <t xml:space="preserve">크림 냥이</t>
  </si>
  <si>
    <t xml:space="preserve">wall_night_sky</t>
  </si>
  <si>
    <t xml:space="preserve">밤하늘 별빛</t>
  </si>
  <si>
    <t xml:space="preserve">wall_peach_hearts</t>
  </si>
  <si>
    <t xml:space="preserve">피치 하트</t>
  </si>
  <si>
    <t xml:space="preserve">wall_wainscot</t>
  </si>
  <si>
    <t xml:space="preserve">원목 웨인스코팅</t>
  </si>
  <si>
    <t xml:space="preserve">wall_cloud_wall</t>
  </si>
  <si>
    <t xml:space="preserve">몽실 구름</t>
  </si>
  <si>
    <t xml:space="preserve">wall_paw_wall</t>
  </si>
  <si>
    <t xml:space="preserve">발바닥 벽지</t>
  </si>
  <si>
    <t xml:space="preserve">wall_sage_leaf</t>
  </si>
  <si>
    <t xml:space="preserve">세이지 잎사귀</t>
  </si>
  <si>
    <t xml:space="preserve">wall_moon_navy</t>
  </si>
  <si>
    <t xml:space="preserve">달과 별</t>
  </si>
  <si>
    <t xml:space="preserve">counter_register</t>
  </si>
  <si>
    <t xml:space="preserve">계산대</t>
  </si>
  <si>
    <t xml:space="preserve">cat_cafe</t>
  </si>
  <si>
    <t xml:space="preserve">room-assets-themes</t>
  </si>
  <si>
    <t xml:space="preserve">espresso_counter</t>
  </si>
  <si>
    <t xml:space="preserve">에스프레소 머신</t>
  </si>
  <si>
    <t xml:space="preserve">cake_showcase</t>
  </si>
  <si>
    <t xml:space="preserve">케이크 쇼케이스</t>
  </si>
  <si>
    <t xml:space="preserve">cafe_table</t>
  </si>
  <si>
    <t xml:space="preserve">원형 카페 테이블</t>
  </si>
  <si>
    <t xml:space="preserve">roomUnlockGift:cat_cafe</t>
  </si>
  <si>
    <t xml:space="preserve">heart_chair</t>
  </si>
  <si>
    <t xml:space="preserve">하트 의자</t>
  </si>
  <si>
    <t xml:space="preserve">bar_stool</t>
  </si>
  <si>
    <t xml:space="preserve">바 스툴</t>
  </si>
  <si>
    <t xml:space="preserve">chalk_stand</t>
  </si>
  <si>
    <t xml:space="preserve">칠판 입간판</t>
  </si>
  <si>
    <t xml:space="preserve">bread_rack</t>
  </si>
  <si>
    <t xml:space="preserve">빵 진열대</t>
  </si>
  <si>
    <t xml:space="preserve">bean_sack</t>
  </si>
  <si>
    <t xml:space="preserve">커피콩 자루</t>
  </si>
  <si>
    <t xml:space="preserve">olive_tree</t>
  </si>
  <si>
    <t xml:space="preserve">올리브 나무</t>
  </si>
  <si>
    <t xml:space="preserve">cup_cattower</t>
  </si>
  <si>
    <t xml:space="preserve">컵 캣타워</t>
  </si>
  <si>
    <t xml:space="preserve">window_bench</t>
  </si>
  <si>
    <t xml:space="preserve">창가 벤치 소파</t>
  </si>
  <si>
    <t xml:space="preserve">mug_cart</t>
  </si>
  <si>
    <t xml:space="preserve">머그 카트</t>
  </si>
  <si>
    <t xml:space="preserve">cookie_jar</t>
  </si>
  <si>
    <t xml:space="preserve">쿠키 병</t>
  </si>
  <si>
    <t xml:space="preserve">catface_lamp</t>
  </si>
  <si>
    <t xml:space="preserve">냥이 얼굴 조명</t>
  </si>
  <si>
    <t xml:space="preserve">food_vending</t>
  </si>
  <si>
    <t xml:space="preserve">간식 자판기</t>
  </si>
  <si>
    <t xml:space="preserve">sakura_tree</t>
  </si>
  <si>
    <t xml:space="preserve">벚꽃 나무</t>
  </si>
  <si>
    <t xml:space="preserve">sakura_greenhouse</t>
  </si>
  <si>
    <t xml:space="preserve">garden_bench</t>
  </si>
  <si>
    <t xml:space="preserve">화이트 정원 벤치</t>
  </si>
  <si>
    <t xml:space="preserve">koi_pond</t>
  </si>
  <si>
    <t xml:space="preserve">잉어 연못</t>
  </si>
  <si>
    <t xml:space="preserve">tulip_planter</t>
  </si>
  <si>
    <t xml:space="preserve">튤립 화분상자</t>
  </si>
  <si>
    <t xml:space="preserve">roomUnlockGift:sakura_greenhouse</t>
  </si>
  <si>
    <t xml:space="preserve">tea_table_white</t>
  </si>
  <si>
    <t xml:space="preserve">화이트 티테이블</t>
  </si>
  <si>
    <t xml:space="preserve">garden_swing</t>
  </si>
  <si>
    <t xml:space="preserve">정원 그네</t>
  </si>
  <si>
    <t xml:space="preserve">watering_can</t>
  </si>
  <si>
    <t xml:space="preserve">물뿌리개</t>
  </si>
  <si>
    <t xml:space="preserve">stone_lantern</t>
  </si>
  <si>
    <t xml:space="preserve">돌 등롱</t>
  </si>
  <si>
    <t xml:space="preserve">flower_wheelbarrow</t>
  </si>
  <si>
    <t xml:space="preserve">꽃 수레</t>
  </si>
  <si>
    <t xml:space="preserve">hydrangea</t>
  </si>
  <si>
    <t xml:space="preserve">수국 화분</t>
  </si>
  <si>
    <t xml:space="preserve">bird_bath</t>
  </si>
  <si>
    <t xml:space="preserve">새 물그릇</t>
  </si>
  <si>
    <t xml:space="preserve">picnic_blanket</t>
  </si>
  <si>
    <t xml:space="preserve">피크닉 매트</t>
  </si>
  <si>
    <t xml:space="preserve">mini_bridge</t>
  </si>
  <si>
    <t xml:space="preserve">미니 다리</t>
  </si>
  <si>
    <t xml:space="preserve">flower_arch</t>
  </si>
  <si>
    <t xml:space="preserve">꽃 아치</t>
  </si>
  <si>
    <t xml:space="preserve">cat_hammock</t>
  </si>
  <si>
    <t xml:space="preserve">냥이 해먹</t>
  </si>
  <si>
    <t xml:space="preserve">succulent_stand</t>
  </si>
  <si>
    <t xml:space="preserve">다육이 선반</t>
  </si>
  <si>
    <t xml:space="preserve">menu_board</t>
  </si>
  <si>
    <t xml:space="preserve">메뉴 보드</t>
  </si>
  <si>
    <t xml:space="preserve">cat_clock_cafe</t>
  </si>
  <si>
    <t xml:space="preserve">mug_shelf</t>
  </si>
  <si>
    <t xml:space="preserve">머그 선반</t>
  </si>
  <si>
    <t xml:space="preserve">pendant_lamps</t>
  </si>
  <si>
    <t xml:space="preserve">펜던트 조명</t>
  </si>
  <si>
    <t xml:space="preserve">cup_neon</t>
  </si>
  <si>
    <t xml:space="preserve">커피잔 네온</t>
  </si>
  <si>
    <t xml:space="preserve">awning</t>
  </si>
  <si>
    <t xml:space="preserve">줄무늬 차양</t>
  </si>
  <si>
    <t xml:space="preserve">latte_art_frame</t>
  </si>
  <si>
    <t xml:space="preserve">라떼아트 액자</t>
  </si>
  <si>
    <t xml:space="preserve">paw_garland</t>
  </si>
  <si>
    <t xml:space="preserve">greenhouse_window</t>
  </si>
  <si>
    <t xml:space="preserve">온실 아치창</t>
  </si>
  <si>
    <t xml:space="preserve">hanging_basket</t>
  </si>
  <si>
    <t xml:space="preserve">행잉 바스켓</t>
  </si>
  <si>
    <t xml:space="preserve">ivy_garland</t>
  </si>
  <si>
    <t xml:space="preserve">아이비 가랜드</t>
  </si>
  <si>
    <t xml:space="preserve">bird_house</t>
  </si>
  <si>
    <t xml:space="preserve">새집</t>
  </si>
  <si>
    <t xml:space="preserve">sakura_branch</t>
  </si>
  <si>
    <t xml:space="preserve">벚꽃 가지</t>
  </si>
  <si>
    <t xml:space="preserve">tool_rack</t>
  </si>
  <si>
    <t xml:space="preserve">정원 도구걸이</t>
  </si>
  <si>
    <t xml:space="preserve">butterflies</t>
  </si>
  <si>
    <t xml:space="preserve">나비 장식</t>
  </si>
  <si>
    <t xml:space="preserve">flower_wreath</t>
  </si>
  <si>
    <t xml:space="preserve">꽃 리스</t>
  </si>
  <si>
    <t xml:space="preserve">floor_latte_herring</t>
  </si>
  <si>
    <t xml:space="preserve">라떼 헤링본</t>
  </si>
  <si>
    <t xml:space="preserve">roomDefault</t>
  </si>
  <si>
    <t xml:space="preserve">floor_cocoa_check</t>
  </si>
  <si>
    <t xml:space="preserve">코코아 체크</t>
  </si>
  <si>
    <t xml:space="preserve">floor_terracotta_hex</t>
  </si>
  <si>
    <t xml:space="preserve">테라코타 육각</t>
  </si>
  <si>
    <t xml:space="preserve">floor_cream_terrazzo</t>
  </si>
  <si>
    <t xml:space="preserve">크림 테라조</t>
  </si>
  <si>
    <t xml:space="preserve">floor_mint_tile</t>
  </si>
  <si>
    <t xml:space="preserve">민트 타일</t>
  </si>
  <si>
    <t xml:space="preserve">floor_cocoa_plank</t>
  </si>
  <si>
    <t xml:space="preserve">코코아 원목</t>
  </si>
  <si>
    <t xml:space="preserve">wall_pink_brick</t>
  </si>
  <si>
    <t xml:space="preserve">핑크 벽돌</t>
  </si>
  <si>
    <t xml:space="preserve">wall_latte_stripe</t>
  </si>
  <si>
    <t xml:space="preserve">라떼 줄무늬</t>
  </si>
  <si>
    <t xml:space="preserve">wall_mint_wainscot</t>
  </si>
  <si>
    <t xml:space="preserve">민트 웨인스코팅</t>
  </si>
  <si>
    <t xml:space="preserve">wall_coffee_bean</t>
  </si>
  <si>
    <t xml:space="preserve">커피콩 패턴</t>
  </si>
  <si>
    <t xml:space="preserve">wall_tiny_cups</t>
  </si>
  <si>
    <t xml:space="preserve">크림 컵 무늬</t>
  </si>
  <si>
    <t xml:space="preserve">wall_chalk_cream</t>
  </si>
  <si>
    <t xml:space="preserve">칠판 하프월</t>
  </si>
  <si>
    <t xml:space="preserve">floor_grass</t>
  </si>
  <si>
    <t xml:space="preserve">폭신 잔디</t>
  </si>
  <si>
    <t xml:space="preserve">floor_stone_path</t>
  </si>
  <si>
    <t xml:space="preserve">징검돌 길</t>
  </si>
  <si>
    <t xml:space="preserve">floor_light_deck</t>
  </si>
  <si>
    <t xml:space="preserve">라이트 데크</t>
  </si>
  <si>
    <t xml:space="preserve">floor_petal_grass</t>
  </si>
  <si>
    <t xml:space="preserve">벚꽃잎 잔디</t>
  </si>
  <si>
    <t xml:space="preserve">floor_pebble_mosaic</t>
  </si>
  <si>
    <t xml:space="preserve">조약돌 모자이크</t>
  </si>
  <si>
    <t xml:space="preserve">floor_moss_tile</t>
  </si>
  <si>
    <t xml:space="preserve">이끼 돌타일</t>
  </si>
  <si>
    <t xml:space="preserve">wall_glass_pane</t>
  </si>
  <si>
    <t xml:space="preserve">온실 유리창</t>
  </si>
  <si>
    <t xml:space="preserve">wall_sakura_branch_wall</t>
  </si>
  <si>
    <t xml:space="preserve">wall_ivy_trellis</t>
  </si>
  <si>
    <t xml:space="preserve">아이비 트렐리스</t>
  </si>
  <si>
    <t xml:space="preserve">wall_sky_cloud</t>
  </si>
  <si>
    <t xml:space="preserve">하늘 구름</t>
  </si>
  <si>
    <t xml:space="preserve">wall_sage_panel</t>
  </si>
  <si>
    <t xml:space="preserve">세이지 패널</t>
  </si>
  <si>
    <t xml:space="preserve">wall_white_lattice</t>
  </si>
  <si>
    <t xml:space="preserve">화이트 격자</t>
  </si>
  <si>
    <t xml:space="preserve">가격 범위</t>
  </si>
  <si>
    <t xml:space="preserve">개수</t>
  </si>
  <si>
    <t xml:space="preserve">평균 가격</t>
  </si>
  <si>
    <t xml:space="preserve">80–150</t>
  </si>
  <si>
    <t xml:space="preserve">200–400</t>
  </si>
  <si>
    <t xml:space="preserve">500–900</t>
  </si>
  <si>
    <t xml:space="preserve">100–250</t>
  </si>
  <si>
    <t xml:space="preserve">레전드급 한정</t>
  </si>
  <si>
    <t xml:space="preserve">1500–</t>
  </si>
  <si>
    <t xml:space="preserve">해금 포인트</t>
  </si>
  <si>
    <r>
      <rPr>
        <b val="true"/>
        <sz val="11"/>
        <color rgb="FFFFFFFF"/>
        <rFont val="Noto Sans CJK SC"/>
        <family val="2"/>
      </rPr>
      <t xml:space="preserve">필요 코지 </t>
    </r>
    <r>
      <rPr>
        <b val="true"/>
        <sz val="11"/>
        <color rgb="FFFFFFFF"/>
        <rFont val="Cambria"/>
        <family val="0"/>
        <charset val="1"/>
      </rPr>
      <t xml:space="preserve">Lv</t>
    </r>
  </si>
  <si>
    <t xml:space="preserve">필요 코지 포인트</t>
  </si>
  <si>
    <r>
      <rPr>
        <b val="true"/>
        <sz val="11"/>
        <color rgb="FFFFFFFF"/>
        <rFont val="Noto Sans CJK SC"/>
        <family val="2"/>
      </rPr>
      <t xml:space="preserve">며칠 모으면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포인트만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</si>
  <si>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해금 시 지급</t>
  </si>
  <si>
    <t xml:space="preserve">달밤 침실</t>
  </si>
  <si>
    <t xml:space="preserve">-</t>
  </si>
  <si>
    <t xml:space="preserve">cafe_table, heart_chair, chalk_stand, menu_board</t>
  </si>
  <si>
    <t xml:space="preserve">벚꽃 온실 정원</t>
  </si>
  <si>
    <t xml:space="preserve">tea_table_white, tulip_planter, watering_can, hanging_basket</t>
  </si>
  <si>
    <t xml:space="preserve">_future</t>
  </si>
  <si>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개</t>
    </r>
  </si>
  <si>
    <r>
      <rPr>
        <b val="true"/>
        <sz val="11"/>
        <color rgb="FFFFFFFF"/>
        <rFont val="Noto Sans CJK SC"/>
        <family val="2"/>
      </rPr>
      <t xml:space="preserve">코지 </t>
    </r>
    <r>
      <rPr>
        <b val="true"/>
        <sz val="11"/>
        <color rgb="FFFFFFFF"/>
        <rFont val="Cambria"/>
        <family val="0"/>
        <charset val="1"/>
      </rPr>
      <t xml:space="preserve">Lv</t>
    </r>
  </si>
  <si>
    <t xml:space="preserve">최소 코지 포인트</t>
  </si>
  <si>
    <t xml:space="preserve">목표</t>
  </si>
  <si>
    <r>
      <rPr>
        <sz val="11"/>
        <color theme="1"/>
        <rFont val="Noto Sans CJK SC"/>
        <family val="2"/>
      </rPr>
      <t xml:space="preserve">활성 유저 </t>
    </r>
    <r>
      <rPr>
        <sz val="11"/>
        <color theme="1"/>
        <rFont val="Calibri"/>
        <family val="2"/>
        <charset val="1"/>
      </rPr>
      <t xml:space="preserve">10–14</t>
    </r>
    <r>
      <rPr>
        <sz val="11"/>
        <color theme="1"/>
        <rFont val="Noto Sans CJK SC"/>
        <family val="2"/>
      </rPr>
      <t xml:space="preserve">일차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시뮬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</si>
  <si>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25–30</t>
    </r>
    <r>
      <rPr>
        <sz val="11"/>
        <color theme="1"/>
        <rFont val="Noto Sans CJK SC"/>
        <family val="2"/>
      </rPr>
      <t xml:space="preserve">일차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시뮬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</si>
  <si>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코지 포인트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보유 아이템의 등급별 코지 합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작은 소품 </t>
    </r>
    <r>
      <rPr>
        <sz val="11"/>
        <color theme="1"/>
        <rFont val="Calibri"/>
        <family val="2"/>
        <charset val="1"/>
      </rPr>
      <t xml:space="preserve">4 · </t>
    </r>
    <r>
      <rPr>
        <sz val="11"/>
        <color theme="1"/>
        <rFont val="Noto Sans CJK SC"/>
        <family val="2"/>
      </rPr>
      <t xml:space="preserve">일반 가구 </t>
    </r>
    <r>
      <rPr>
        <sz val="11"/>
        <color theme="1"/>
        <rFont val="Calibri"/>
        <family val="2"/>
        <charset val="1"/>
      </rPr>
      <t xml:space="preserve">10 · </t>
    </r>
    <r>
      <rPr>
        <sz val="11"/>
        <color theme="1"/>
        <rFont val="Noto Sans CJK SC"/>
        <family val="2"/>
      </rPr>
      <t xml:space="preserve">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대표 </t>
    </r>
    <r>
      <rPr>
        <sz val="11"/>
        <color theme="1"/>
        <rFont val="Calibri"/>
        <family val="2"/>
        <charset val="1"/>
      </rPr>
      <t xml:space="preserve">25 · </t>
    </r>
    <r>
      <rPr>
        <sz val="11"/>
        <color theme="1"/>
        <rFont val="Noto Sans CJK SC"/>
        <family val="2"/>
      </rPr>
      <t xml:space="preserve">벽 꾸미기 </t>
    </r>
    <r>
      <rPr>
        <sz val="11"/>
        <color theme="1"/>
        <rFont val="Calibri"/>
        <family val="2"/>
        <charset val="1"/>
      </rPr>
      <t xml:space="preserve">6 · </t>
    </r>
    <r>
      <rPr>
        <sz val="11"/>
        <color theme="1"/>
        <rFont val="Noto Sans CJK SC"/>
        <family val="2"/>
      </rPr>
      <t xml:space="preserve">벽지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바닥 </t>
    </r>
    <r>
      <rPr>
        <sz val="11"/>
        <color theme="1"/>
        <rFont val="Calibri"/>
        <family val="2"/>
        <charset val="1"/>
      </rPr>
      <t xml:space="preserve">8 · </t>
    </r>
    <r>
      <rPr>
        <sz val="11"/>
        <color theme="1"/>
        <rFont val="Noto Sans CJK SC"/>
        <family val="2"/>
      </rPr>
      <t xml:space="preserve">레전드 </t>
    </r>
    <r>
      <rPr>
        <sz val="11"/>
        <color theme="1"/>
        <rFont val="Calibri"/>
        <family val="2"/>
        <charset val="1"/>
      </rPr>
      <t xml:space="preserve">60)</t>
    </r>
  </si>
  <si>
    <r>
      <rPr>
        <sz val="11"/>
        <color theme="1"/>
        <rFont val="Noto Sans CJK SC"/>
        <family val="2"/>
      </rPr>
      <t xml:space="preserve">시뮬레이션에서 고양이 카페 해금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포인트 </t>
    </r>
    <r>
      <rPr>
        <sz val="11"/>
        <color theme="1"/>
        <rFont val="Calibri"/>
        <family val="2"/>
        <charset val="1"/>
      </rPr>
      <t xml:space="preserve">1,500 </t>
    </r>
    <r>
      <rPr>
        <sz val="11"/>
        <color theme="1"/>
        <rFont val="Noto Sans CJK SC"/>
        <family val="2"/>
      </rPr>
      <t xml:space="preserve">모으기 포함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중앙값은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일차예요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</si>
  <si>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토스 지급 </t>
    </r>
    <r>
      <rPr>
        <b val="true"/>
        <sz val="13"/>
        <rFont val="Cambria"/>
        <family val="0"/>
        <charset val="1"/>
      </rPr>
      <t xml:space="preserve">(1</t>
    </r>
    <r>
      <rPr>
        <b val="true"/>
        <sz val="13"/>
        <rFont val="Noto Sans CJK SC"/>
        <family val="2"/>
      </rPr>
      <t xml:space="preserve">인 최대</t>
    </r>
    <r>
      <rPr>
        <b val="true"/>
        <sz val="13"/>
        <rFont val="Cambria"/>
        <family val="0"/>
        <charset val="1"/>
      </rPr>
      <t xml:space="preserve">)</t>
    </r>
  </si>
  <si>
    <t xml:space="preserve">보상</t>
  </si>
  <si>
    <t xml:space="preserve">횟수</t>
  </si>
  <si>
    <r>
      <rPr>
        <b val="true"/>
        <sz val="11"/>
        <color rgb="FFFFFFFF"/>
        <rFont val="Noto Sans CJK SC"/>
        <family val="2"/>
      </rPr>
      <t xml:space="preserve">토스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원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</si>
  <si>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토스 합계</t>
  </si>
  <si>
    <t xml:space="preserve">포인트 합계</t>
  </si>
  <si>
    <t xml:space="preserve">새 카드 첫 획득</t>
  </si>
  <si>
    <r>
      <rPr>
        <sz val="11"/>
        <color theme="1"/>
        <rFont val="Noto Sans CJK SC"/>
        <family val="2"/>
      </rPr>
      <t xml:space="preserve">품종 </t>
    </r>
    <r>
      <rPr>
        <sz val="11"/>
        <color theme="1"/>
        <rFont val="Calibri"/>
        <family val="2"/>
        <charset val="1"/>
      </rPr>
      <t xml:space="preserve">1–5★ </t>
    </r>
    <r>
      <rPr>
        <sz val="11"/>
        <color theme="1"/>
        <rFont val="Noto Sans CJK SC"/>
        <family val="2"/>
      </rPr>
      <t xml:space="preserve">완성</t>
    </r>
  </si>
  <si>
    <t xml:space="preserve">스페셜 세트 완성</t>
  </si>
  <si>
    <t xml:space="preserve">캐릭터 세트 완성</t>
  </si>
  <si>
    <t xml:space="preserve">레전드 세트 완성</t>
  </si>
  <si>
    <t xml:space="preserve">도감 전체 완성</t>
  </si>
  <si>
    <t xml:space="preserve">합계</t>
  </si>
  <si>
    <r>
      <rPr>
        <sz val="11"/>
        <color theme="1"/>
        <rFont val="Noto Sans CJK SC"/>
        <family val="2"/>
      </rPr>
      <t xml:space="preserve">검증 </t>
    </r>
    <r>
      <rPr>
        <sz val="11"/>
        <color theme="1"/>
        <rFont val="Calibri"/>
        <family val="2"/>
        <charset val="1"/>
      </rPr>
      <t xml:space="preserve">(417</t>
    </r>
    <r>
      <rPr>
        <sz val="11"/>
        <color theme="1"/>
        <rFont val="Noto Sans CJK SC"/>
        <family val="2"/>
      </rPr>
      <t xml:space="preserve">원이어야 해요</t>
    </r>
    <r>
      <rPr>
        <sz val="11"/>
        <color theme="1"/>
        <rFont val="Calibri"/>
        <family val="2"/>
        <charset val="1"/>
      </rPr>
      <t xml:space="preserve">)</t>
    </r>
  </si>
  <si>
    <t xml:space="preserve">광고 수익 손익분기</t>
  </si>
  <si>
    <r>
      <rPr>
        <sz val="11"/>
        <color theme="1"/>
        <rFont val="Noto Sans CJK SC"/>
        <family val="2"/>
      </rPr>
      <t xml:space="preserve">짧은 광고 </t>
    </r>
    <r>
      <rPr>
        <sz val="11"/>
        <color theme="1"/>
        <rFont val="Calibri"/>
        <family val="2"/>
        <charset val="1"/>
      </rPr>
      <t xml:space="preserve">eCPM (</t>
    </r>
    <r>
      <rPr>
        <sz val="11"/>
        <color theme="1"/>
        <rFont val="Noto Sans CJK SC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)</t>
    </r>
  </si>
  <si>
    <t xml:space="preserve">앱인토스 대시보드에서 입력</t>
  </si>
  <si>
    <r>
      <rPr>
        <sz val="11"/>
        <color theme="1"/>
        <rFont val="Noto Sans CJK SC"/>
        <family val="2"/>
      </rPr>
      <t xml:space="preserve">긴 광고 </t>
    </r>
    <r>
      <rPr>
        <sz val="11"/>
        <color theme="1"/>
        <rFont val="Calibri"/>
        <family val="2"/>
        <charset val="1"/>
      </rPr>
      <t xml:space="preserve">eCPM (</t>
    </r>
    <r>
      <rPr>
        <sz val="11"/>
        <color theme="1"/>
        <rFont val="Noto Sans CJK SC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</si>
  <si>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기간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</si>
  <si>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인 하루 짧은 광고 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뽑기 </t>
    </r>
    <r>
      <rPr>
        <sz val="11"/>
        <color theme="1"/>
        <rFont val="Calibri"/>
        <family val="2"/>
        <charset val="1"/>
      </rPr>
      <t xml:space="preserve">3 + </t>
    </r>
    <r>
      <rPr>
        <sz val="11"/>
        <color theme="1"/>
        <rFont val="Noto Sans CJK SC"/>
        <family val="2"/>
      </rPr>
      <t xml:space="preserve">포인트 </t>
    </r>
    <r>
      <rPr>
        <sz val="11"/>
        <color theme="1"/>
        <rFont val="Calibri"/>
        <family val="2"/>
        <charset val="1"/>
      </rPr>
      <t xml:space="preserve">8)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</si>
  <si>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인 하루 긴 광고 수</t>
    </r>
  </si>
  <si>
    <r>
      <rPr>
        <sz val="11"/>
        <color theme="1"/>
        <rFont val="Noto Sans CJK SC"/>
        <family val="2"/>
      </rPr>
      <t xml:space="preserve">기간 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인 토스 지급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시뮬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일 중앙값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</si>
  <si>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기간 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인 광고 수익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</si>
  <si>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인 순이익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Noto Sans CJK SC"/>
        <family val="2"/>
      </rPr>
      <t xml:space="preserve">광고 수익 − 토스 지급</t>
    </r>
  </si>
  <si>
    <r>
      <rPr>
        <sz val="11"/>
        <color theme="1"/>
        <rFont val="Noto Sans CJK SC"/>
        <family val="2"/>
      </rPr>
      <t xml:space="preserve">손익분기 평균 </t>
    </r>
    <r>
      <rPr>
        <sz val="11"/>
        <color theme="1"/>
        <rFont val="Calibri"/>
        <family val="2"/>
        <charset val="1"/>
      </rPr>
      <t xml:space="preserve">eCPM (</t>
    </r>
    <r>
      <rPr>
        <sz val="11"/>
        <color theme="1"/>
        <rFont val="Noto Sans CJK SC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모든 광고 동일 가정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</si>
  <si>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손익분기 짧은 광고 </t>
    </r>
    <r>
      <rPr>
        <sz val="11"/>
        <color theme="1"/>
        <rFont val="Calibri"/>
        <family val="2"/>
        <charset val="1"/>
      </rPr>
      <t xml:space="preserve">eCPM (</t>
    </r>
    <r>
      <rPr>
        <sz val="11"/>
        <color theme="1"/>
        <rFont val="Noto Sans CJK SC"/>
        <family val="2"/>
      </rPr>
      <t xml:space="preserve">긴 광고 </t>
    </r>
    <r>
      <rPr>
        <sz val="11"/>
        <color theme="1"/>
        <rFont val="Calibri"/>
        <family val="2"/>
        <charset val="1"/>
      </rPr>
      <t xml:space="preserve">eCPM </t>
    </r>
    <r>
      <rPr>
        <sz val="11"/>
        <color theme="1"/>
        <rFont val="Noto Sans CJK SC"/>
        <family val="2"/>
      </rPr>
      <t xml:space="preserve">입력 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</si>
  <si>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최대 지급 </t>
    </r>
    <r>
      <rPr>
        <sz val="11"/>
        <color theme="1"/>
        <rFont val="Calibri"/>
        <family val="2"/>
        <charset val="1"/>
      </rPr>
      <t xml:space="preserve">417</t>
    </r>
    <r>
      <rPr>
        <sz val="11"/>
        <color theme="1"/>
        <rFont val="Noto Sans CJK SC"/>
        <family val="2"/>
      </rPr>
      <t xml:space="preserve">원 회수에 필요한 광고 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평균 </t>
    </r>
    <r>
      <rPr>
        <sz val="11"/>
        <color theme="1"/>
        <rFont val="Calibri"/>
        <family val="2"/>
        <charset val="1"/>
      </rPr>
      <t xml:space="preserve">eCPM </t>
    </r>
    <r>
      <rPr>
        <sz val="11"/>
        <color theme="1"/>
        <rFont val="Noto Sans CJK SC"/>
        <family val="2"/>
      </rPr>
      <t xml:space="preserve">입력 시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</si>
  <si>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시작 포인트</t>
    </r>
    <r>
      <rPr>
        <b val="true"/>
        <sz val="11"/>
        <rFont val="Cambria"/>
        <family val="0"/>
        <charset val="1"/>
      </rPr>
      <t xml:space="preserve">: 300</t>
    </r>
  </si>
  <si>
    <t xml:space="preserve">구분</t>
  </si>
  <si>
    <t xml:space="preserve">가격 환산</t>
  </si>
  <si>
    <r>
      <rPr>
        <sz val="11"/>
        <color theme="1"/>
        <rFont val="Noto Sans CJK SC"/>
        <family val="2"/>
      </rPr>
      <t xml:space="preserve">첫 방 배치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히어로 고양이 포함</t>
    </r>
    <r>
      <rPr>
        <sz val="11"/>
        <color theme="1"/>
        <rFont val="Calibri"/>
        <family val="2"/>
        <charset val="1"/>
      </rPr>
      <t xml:space="preserve">)</t>
    </r>
  </si>
  <si>
    <t xml:space="preserve">첫 방 배치</t>
  </si>
  <si>
    <t xml:space="preserve">첫 방 기본 바닥</t>
  </si>
  <si>
    <t xml:space="preserve">첫 방 기본 벽지</t>
  </si>
  <si>
    <t xml:space="preserve">서랍</t>
  </si>
  <si>
    <r>
      <rPr>
        <sz val="11"/>
        <color theme="1"/>
        <rFont val="Noto Sans CJK SC"/>
        <family val="2"/>
      </rPr>
      <t xml:space="preserve">출석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일차</t>
    </r>
  </si>
  <si>
    <r>
      <rPr>
        <sz val="11"/>
        <color theme="1"/>
        <rFont val="Noto Sans CJK SC"/>
        <family val="2"/>
      </rPr>
      <t xml:space="preserve">출석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일차</t>
    </r>
  </si>
  <si>
    <r>
      <rPr>
        <sz val="11"/>
        <color theme="1"/>
        <rFont val="Noto Sans CJK SC"/>
        <family val="2"/>
      </rPr>
      <t xml:space="preserve">출석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일차</t>
    </r>
  </si>
  <si>
    <r>
      <rPr>
        <sz val="11"/>
        <color theme="1"/>
        <rFont val="Noto Sans CJK SC"/>
        <family val="2"/>
      </rPr>
      <t xml:space="preserve">출석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일차</t>
    </r>
  </si>
  <si>
    <r>
      <rPr>
        <sz val="11"/>
        <color theme="1"/>
        <rFont val="Noto Sans CJK SC"/>
        <family val="2"/>
      </rPr>
      <t xml:space="preserve">출석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일차</t>
    </r>
  </si>
  <si>
    <r>
      <rPr>
        <sz val="11"/>
        <color theme="1"/>
        <rFont val="Noto Sans CJK SC"/>
        <family val="2"/>
      </rPr>
      <t xml:space="preserve">출석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일차</t>
    </r>
  </si>
  <si>
    <r>
      <rPr>
        <sz val="11"/>
        <color theme="1"/>
        <rFont val="Noto Sans CJK SC"/>
        <family val="2"/>
      </rPr>
      <t xml:space="preserve">출석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일차</t>
    </r>
  </si>
  <si>
    <t xml:space="preserve">단계</t>
  </si>
  <si>
    <t xml:space="preserve">화면</t>
  </si>
  <si>
    <t xml:space="preserve">대상 요소</t>
  </si>
  <si>
    <t xml:space="preserve">문구</t>
  </si>
  <si>
    <r>
      <rPr>
        <b val="true"/>
        <sz val="11"/>
        <color rgb="FFFFFFFF"/>
        <rFont val="Noto Sans CJK SC"/>
        <family val="2"/>
      </rPr>
      <t xml:space="preserve">토스트</t>
    </r>
    <r>
      <rPr>
        <b val="true"/>
        <sz val="11"/>
        <color rgb="FFFFFFFF"/>
        <rFont val="Cambria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보조</t>
    </r>
  </si>
  <si>
    <t xml:space="preserve">동작</t>
  </si>
  <si>
    <t xml:space="preserve">main</t>
  </si>
  <si>
    <t xml:space="preserve">#stage-cat</t>
  </si>
  <si>
    <r>
      <rPr>
        <sz val="11"/>
        <color theme="1"/>
        <rFont val="Noto Sans CJK SC"/>
        <family val="2"/>
      </rPr>
      <t xml:space="preserve">톡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깨워 볼까요</t>
    </r>
    <r>
      <rPr>
        <sz val="11"/>
        <color theme="1"/>
        <rFont val="Calibri"/>
        <family val="2"/>
        <charset val="1"/>
      </rPr>
      <t xml:space="preserve">?</t>
    </r>
  </si>
  <si>
    <t xml:space="preserve">첫 뽑기는 광고 없이 무료예요</t>
  </si>
  <si>
    <t xml:space="preserve">tap</t>
  </si>
  <si>
    <t xml:space="preserve">draw-reveal</t>
  </si>
  <si>
    <t xml:space="preserve">#reveal-card</t>
  </si>
  <si>
    <t xml:space="preserve">오늘의 행운 문구가 도착했어요</t>
  </si>
  <si>
    <r>
      <rPr>
        <sz val="11"/>
        <color theme="1"/>
        <rFont val="Noto Sans CJK SC"/>
        <family val="2"/>
      </rPr>
      <t xml:space="preserve">도감에 등록됐어요</t>
    </r>
    <r>
      <rPr>
        <sz val="11"/>
        <color theme="1"/>
        <rFont val="Calibri"/>
        <family val="2"/>
        <charset val="1"/>
      </rPr>
      <t xml:space="preserve">! </t>
    </r>
    <r>
      <rPr>
        <sz val="11"/>
        <color theme="1"/>
        <rFont val="Noto Sans CJK SC"/>
        <family val="2"/>
      </rPr>
      <t xml:space="preserve">토스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원 받았어요</t>
    </r>
  </si>
  <si>
    <r>
      <rPr>
        <sz val="11"/>
        <color theme="1"/>
        <rFont val="Calibri"/>
        <family val="2"/>
        <charset val="1"/>
      </rPr>
      <t xml:space="preserve">tap #btn-to-dex (</t>
    </r>
    <r>
      <rPr>
        <sz val="11"/>
        <color theme="1"/>
        <rFont val="Noto Sans CJK SC"/>
        <family val="2"/>
      </rPr>
      <t xml:space="preserve">도감에 넣기</t>
    </r>
    <r>
      <rPr>
        <sz val="11"/>
        <color theme="1"/>
        <rFont val="Calibri"/>
        <family val="2"/>
        <charset val="1"/>
      </rPr>
      <t xml:space="preserve">)</t>
    </r>
  </si>
  <si>
    <t xml:space="preserve">main→dex</t>
  </si>
  <si>
    <t xml:space="preserve">#icon-dex</t>
  </si>
  <si>
    <t xml:space="preserve">도감에서 모은 카드를 볼 수 있어요</t>
  </si>
  <si>
    <t xml:space="preserve">방금 뽑은 카드가 여기 들어갔어요</t>
  </si>
  <si>
    <t xml:space="preserve">room</t>
  </si>
  <si>
    <t xml:space="preserve">#drawer-item-0</t>
  </si>
  <si>
    <t xml:space="preserve">서랍에서 아이템을 꺼내 방에 놓아 보세요</t>
  </si>
  <si>
    <t xml:space="preserve">다 꾸몄으면 완료를 눌러요</t>
  </si>
  <si>
    <r>
      <rPr>
        <sz val="11"/>
        <color theme="1"/>
        <rFont val="Calibri"/>
        <family val="2"/>
        <charset val="1"/>
      </rPr>
      <t xml:space="preserve">drag + tap </t>
    </r>
    <r>
      <rPr>
        <sz val="11"/>
        <color theme="1"/>
        <rFont val="Noto Sans CJK SC"/>
        <family val="2"/>
      </rPr>
      <t xml:space="preserve">완료</t>
    </r>
  </si>
  <si>
    <r>
      <rPr>
        <sz val="11"/>
        <color theme="1"/>
        <rFont val="Noto Sans CJK SC"/>
        <family val="2"/>
      </rPr>
      <t xml:space="preserve">건너뛰기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모든 단계 우상단 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Noto Sans CJK SC"/>
        <family val="2"/>
      </rPr>
      <t xml:space="preserve">건너뛰기</t>
    </r>
    <r>
      <rPr>
        <sz val="11"/>
        <color theme="1"/>
        <rFont val="Calibri"/>
        <family val="2"/>
        <charset val="1"/>
      </rPr>
      <t xml:space="preserve">", </t>
    </r>
    <r>
      <rPr>
        <sz val="11"/>
        <color theme="1"/>
        <rFont val="Noto Sans CJK SC"/>
        <family val="2"/>
      </rPr>
      <t xml:space="preserve">보상은 그대로 지급</t>
    </r>
    <r>
      <rPr>
        <sz val="11"/>
        <color theme="1"/>
        <rFont val="Calibri"/>
        <family val="2"/>
        <charset val="1"/>
      </rPr>
      <t xml:space="preserve">. 1</t>
    </r>
    <r>
      <rPr>
        <sz val="11"/>
        <color theme="1"/>
        <rFont val="Noto Sans CJK SC"/>
        <family val="2"/>
      </rPr>
      <t xml:space="preserve">분 이내</t>
    </r>
    <r>
      <rPr>
        <sz val="11"/>
        <color theme="1"/>
        <rFont val="Calibri"/>
        <family val="2"/>
        <charset val="1"/>
      </rPr>
      <t xml:space="preserve">.</t>
    </r>
  </si>
  <si>
    <t xml:space="preserve">새 기능 말풍선 문구</t>
  </si>
  <si>
    <t xml:space="preserve">intro-extra-draws</t>
  </si>
  <si>
    <t xml:space="preserve">#chip-draws</t>
  </si>
  <si>
    <r>
      <rPr>
        <sz val="11"/>
        <color theme="1"/>
        <rFont val="Noto Sans CJK SC"/>
        <family val="2"/>
      </rPr>
      <t xml:space="preserve">광고를 보면 하루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번 더 뽑을 수 있어요</t>
    </r>
  </si>
  <si>
    <t xml:space="preserve">intro-rateup</t>
  </si>
  <si>
    <t xml:space="preserve">#btn-rateup</t>
  </si>
  <si>
    <r>
      <rPr>
        <sz val="11"/>
        <color theme="1"/>
        <rFont val="Noto Sans CJK SC"/>
        <family val="2"/>
      </rPr>
      <t xml:space="preserve">확률업 뽑기가 열렸어요</t>
    </r>
    <r>
      <rPr>
        <sz val="11"/>
        <color theme="1"/>
        <rFont val="Calibri"/>
        <family val="2"/>
        <charset val="1"/>
      </rPr>
      <t xml:space="preserve">! </t>
    </r>
    <r>
      <rPr>
        <sz val="11"/>
        <color theme="1"/>
        <rFont val="Noto Sans CJK SC"/>
        <family val="2"/>
      </rPr>
      <t xml:space="preserve">레어 이상이 더 잘 나와요</t>
    </r>
  </si>
  <si>
    <t xml:space="preserve">intro-paw-ads</t>
  </si>
  <si>
    <t xml:space="preserve">#btn-paw-ad</t>
  </si>
  <si>
    <r>
      <rPr>
        <sz val="11"/>
        <color theme="1"/>
        <rFont val="Noto Sans CJK SC"/>
        <family val="2"/>
      </rPr>
      <t xml:space="preserve">광고 보고 포인트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개 받아요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하루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번까지</t>
    </r>
    <r>
      <rPr>
        <sz val="11"/>
        <color theme="1"/>
        <rFont val="Calibri"/>
        <family val="2"/>
        <charset val="1"/>
      </rPr>
      <t xml:space="preserve">)</t>
    </r>
  </si>
  <si>
    <t xml:space="preserve">intro-dup-convert</t>
  </si>
  <si>
    <t xml:space="preserve">#dex-dup-convert</t>
  </si>
  <si>
    <t xml:space="preserve">겹친 카드는 포인트로 바꿀 수 있어요</t>
  </si>
  <si>
    <t xml:space="preserve">intro-cozy</t>
  </si>
  <si>
    <t xml:space="preserve">#cozy-meter</t>
  </si>
  <si>
    <t xml:space="preserve">아이템을 모을수록 아늑함 레벨이 올라가요</t>
  </si>
  <si>
    <t xml:space="preserve">지표</t>
  </si>
  <si>
    <t xml:space="preserve">정의</t>
  </si>
  <si>
    <t xml:space="preserve">계산</t>
  </si>
  <si>
    <r>
      <rPr>
        <b val="true"/>
        <sz val="11"/>
        <color rgb="FFFFFFFF"/>
        <rFont val="Noto Sans CJK SC"/>
        <family val="2"/>
      </rPr>
      <t xml:space="preserve">목표 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입력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</si>
  <si>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데이터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</si>
  <si>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리텐션</t>
    </r>
  </si>
  <si>
    <t xml:space="preserve">설치 다음 날 재방문 비율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</si>
  <si>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방문자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설치자</t>
    </r>
  </si>
  <si>
    <t xml:space="preserve">앱인토스 대시보드</t>
  </si>
  <si>
    <r>
      <rPr>
        <sz val="11"/>
        <color theme="1"/>
        <rFont val="Calibri"/>
        <family val="2"/>
        <charset val="1"/>
      </rPr>
      <t xml:space="preserve">D7 </t>
    </r>
    <r>
      <rPr>
        <sz val="11"/>
        <color theme="1"/>
        <rFont val="Noto Sans CJK SC"/>
        <family val="2"/>
      </rPr>
      <t xml:space="preserve">리텐션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</si>
  <si>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일차 재방문 비율</t>
    </r>
  </si>
  <si>
    <r>
      <rPr>
        <sz val="11"/>
        <color theme="1"/>
        <rFont val="Calibri"/>
        <family val="2"/>
        <charset val="1"/>
      </rPr>
      <t xml:space="preserve">D7 </t>
    </r>
    <r>
      <rPr>
        <sz val="11"/>
        <color theme="1"/>
        <rFont val="Noto Sans CJK SC"/>
        <family val="2"/>
      </rPr>
      <t xml:space="preserve">방문자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설치자</t>
    </r>
  </si>
  <si>
    <r>
      <rPr>
        <sz val="11"/>
        <color theme="1"/>
        <rFont val="Noto Sans CJK SC"/>
        <family val="2"/>
      </rPr>
      <t xml:space="preserve">광고 시청 </t>
    </r>
    <r>
      <rPr>
        <sz val="11"/>
        <color theme="1"/>
        <rFont val="Calibri"/>
        <family val="2"/>
        <charset val="1"/>
      </rPr>
      <t xml:space="preserve">/ DAU</t>
    </r>
  </si>
  <si>
    <r>
      <rPr>
        <sz val="11"/>
        <color theme="1"/>
        <rFont val="Noto Sans CJK SC"/>
        <family val="2"/>
      </rPr>
      <t xml:space="preserve">하루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인당 광고 완료 수</t>
    </r>
  </si>
  <si>
    <r>
      <rPr>
        <sz val="11"/>
        <color theme="1"/>
        <rFont val="Noto Sans CJK SC"/>
        <family val="2"/>
      </rPr>
      <t xml:space="preserve">광고 완료 콜백 수 </t>
    </r>
    <r>
      <rPr>
        <sz val="11"/>
        <color theme="1"/>
        <rFont val="Calibri"/>
        <family val="2"/>
        <charset val="1"/>
      </rPr>
      <t xml:space="preserve">/ DAU</t>
    </r>
  </si>
  <si>
    <r>
      <rPr>
        <sz val="11"/>
        <color theme="1"/>
        <rFont val="Noto Sans CJK SC"/>
        <family val="2"/>
      </rPr>
      <t xml:space="preserve">서버 로그 </t>
    </r>
    <r>
      <rPr>
        <sz val="11"/>
        <color theme="1"/>
        <rFont val="Calibri"/>
        <family val="2"/>
        <charset val="1"/>
      </rPr>
      <t xml:space="preserve">(ad_complete)</t>
    </r>
  </si>
  <si>
    <r>
      <rPr>
        <sz val="11"/>
        <color theme="1"/>
        <rFont val="Noto Sans CJK SC"/>
        <family val="2"/>
      </rPr>
      <t xml:space="preserve">광고 수익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유저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</si>
  <si>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인당 일 광고 수익</t>
    </r>
  </si>
  <si>
    <r>
      <rPr>
        <sz val="11"/>
        <color theme="1"/>
        <rFont val="Noto Sans CJK SC"/>
        <family val="2"/>
      </rPr>
      <t xml:space="preserve">광고 수익 </t>
    </r>
    <r>
      <rPr>
        <sz val="11"/>
        <color theme="1"/>
        <rFont val="Calibri"/>
        <family val="2"/>
        <charset val="1"/>
      </rPr>
      <t xml:space="preserve">/ DAU</t>
    </r>
  </si>
  <si>
    <r>
      <rPr>
        <sz val="11"/>
        <color theme="1"/>
        <rFont val="Noto Sans CJK SC"/>
        <family val="2"/>
      </rPr>
      <t xml:space="preserve">토스 지급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유저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</si>
  <si>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인당 누적 토스 지급</t>
    </r>
  </si>
  <si>
    <r>
      <rPr>
        <sz val="11"/>
        <color theme="1"/>
        <rFont val="Noto Sans CJK SC"/>
        <family val="2"/>
      </rPr>
      <t xml:space="preserve">토스 지급 합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누적 유저</t>
    </r>
  </si>
  <si>
    <r>
      <rPr>
        <sz val="11"/>
        <color theme="1"/>
        <rFont val="Noto Sans CJK SC"/>
        <family val="2"/>
      </rPr>
      <t xml:space="preserve">서버 </t>
    </r>
    <r>
      <rPr>
        <sz val="11"/>
        <color theme="1"/>
        <rFont val="Calibri"/>
        <family val="2"/>
        <charset val="1"/>
      </rPr>
      <t xml:space="preserve">reward_ledger</t>
    </r>
  </si>
  <si>
    <t xml:space="preserve">도감 완성률</t>
  </si>
  <si>
    <r>
      <rPr>
        <sz val="11"/>
        <color theme="1"/>
        <rFont val="Noto Sans CJK SC"/>
        <family val="2"/>
      </rPr>
      <t xml:space="preserve">유저별 보유 카드 </t>
    </r>
    <r>
      <rPr>
        <sz val="11"/>
        <color theme="1"/>
        <rFont val="Calibri"/>
        <family val="2"/>
        <charset val="1"/>
      </rPr>
      <t xml:space="preserve">/ 107 </t>
    </r>
    <r>
      <rPr>
        <sz val="11"/>
        <color theme="1"/>
        <rFont val="Noto Sans CJK SC"/>
        <family val="2"/>
      </rPr>
      <t xml:space="preserve">분포</t>
    </r>
  </si>
  <si>
    <r>
      <rPr>
        <sz val="11"/>
        <color theme="1"/>
        <rFont val="Noto Sans CJK SC"/>
        <family val="2"/>
      </rPr>
      <t xml:space="preserve">보유 카드 수 중앙값 </t>
    </r>
    <r>
      <rPr>
        <sz val="11"/>
        <color theme="1"/>
        <rFont val="Calibri"/>
        <family val="2"/>
        <charset val="1"/>
      </rPr>
      <t xml:space="preserve">/ 107</t>
    </r>
  </si>
  <si>
    <r>
      <rPr>
        <sz val="11"/>
        <color theme="1"/>
        <rFont val="Noto Sans CJK SC"/>
        <family val="2"/>
      </rPr>
      <t xml:space="preserve">서버 </t>
    </r>
    <r>
      <rPr>
        <sz val="11"/>
        <color theme="1"/>
        <rFont val="Calibri"/>
        <family val="2"/>
        <charset val="1"/>
      </rPr>
      <t xml:space="preserve">dex</t>
    </r>
  </si>
  <si>
    <t xml:space="preserve">뽑기 슬롯 사용률</t>
  </si>
  <si>
    <r>
      <rPr>
        <sz val="11"/>
        <color theme="1"/>
        <rFont val="Noto Sans CJK SC"/>
        <family val="2"/>
      </rPr>
      <t xml:space="preserve">하루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회 중 사용</t>
    </r>
  </si>
  <si>
    <r>
      <rPr>
        <sz val="11"/>
        <color theme="1"/>
        <rFont val="Noto Sans CJK SC"/>
        <family val="2"/>
      </rPr>
      <t xml:space="preserve">사용 뽑기 </t>
    </r>
    <r>
      <rPr>
        <sz val="11"/>
        <color theme="1"/>
        <rFont val="Calibri"/>
        <family val="2"/>
        <charset val="1"/>
      </rPr>
      <t xml:space="preserve">/ (DAU×4)</t>
    </r>
  </si>
  <si>
    <r>
      <rPr>
        <sz val="11"/>
        <color theme="1"/>
        <rFont val="Noto Sans CJK SC"/>
        <family val="2"/>
      </rPr>
      <t xml:space="preserve">서버 </t>
    </r>
    <r>
      <rPr>
        <sz val="11"/>
        <color theme="1"/>
        <rFont val="Calibri"/>
        <family val="2"/>
        <charset val="1"/>
      </rPr>
      <t xml:space="preserve">draws</t>
    </r>
  </si>
  <si>
    <t xml:space="preserve">포인트 수지</t>
  </si>
  <si>
    <r>
      <rPr>
        <sz val="11"/>
        <color theme="1"/>
        <rFont val="Noto Sans CJK SC"/>
        <family val="2"/>
      </rPr>
      <t xml:space="preserve">발행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소비</t>
    </r>
  </si>
  <si>
    <r>
      <rPr>
        <sz val="11"/>
        <color theme="1"/>
        <rFont val="Noto Sans CJK SC"/>
        <family val="2"/>
      </rPr>
      <t xml:space="preserve">발행 포인트 − 소비 포인트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일별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</si>
  <si>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서버 </t>
    </r>
    <r>
      <rPr>
        <sz val="11"/>
        <color theme="1"/>
        <rFont val="Calibri"/>
        <family val="2"/>
        <charset val="1"/>
      </rPr>
      <t xml:space="preserve">paw_ledger</t>
    </r>
  </si>
  <si>
    <t xml:space="preserve">방 해금률</t>
  </si>
  <si>
    <r>
      <rPr>
        <sz val="11"/>
        <color theme="1"/>
        <rFont val="Noto Sans CJK SC"/>
        <family val="2"/>
      </rPr>
      <t xml:space="preserve">카페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온실 해금 유저 비율</t>
    </r>
  </si>
  <si>
    <r>
      <rPr>
        <sz val="11"/>
        <color theme="1"/>
        <rFont val="Noto Sans CJK SC"/>
        <family val="2"/>
      </rPr>
      <t xml:space="preserve">해금 유저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활성 유저</t>
    </r>
  </si>
  <si>
    <r>
      <rPr>
        <sz val="11"/>
        <color theme="1"/>
        <rFont val="Noto Sans CJK SC"/>
        <family val="2"/>
      </rPr>
      <t xml:space="preserve">서버 </t>
    </r>
    <r>
      <rPr>
        <sz val="11"/>
        <color theme="1"/>
        <rFont val="Calibri"/>
        <family val="2"/>
        <charset val="1"/>
      </rPr>
      <t xml:space="preserve">rooms</t>
    </r>
  </si>
  <si>
    <t xml:space="preserve">튜토리얼 완료율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</si>
  <si>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단계 완료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CJK SC"/>
        <family val="2"/>
      </rPr>
      <t xml:space="preserve">건너뛰기</t>
    </r>
  </si>
  <si>
    <r>
      <rPr>
        <sz val="11"/>
        <color theme="1"/>
        <rFont val="Noto Sans CJK SC"/>
        <family val="2"/>
      </rPr>
      <t xml:space="preserve">완료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시작</t>
    </r>
  </si>
  <si>
    <t xml:space="preserve">클라이언트 이벤트</t>
  </si>
  <si>
    <t xml:space="preserve">운영 이벤트</t>
  </si>
  <si>
    <r>
      <rPr>
        <sz val="11"/>
        <color theme="1"/>
        <rFont val="Noto Sans CJK SC"/>
        <family val="2"/>
      </rPr>
      <t xml:space="preserve">월간 카드팩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새 카드 추가 시 </t>
    </r>
    <r>
      <rPr>
        <sz val="11"/>
        <color theme="1"/>
        <rFont val="Calibri"/>
        <family val="2"/>
        <charset val="1"/>
      </rPr>
      <t xml:space="preserve">economy.json tossPayout·</t>
    </r>
    <r>
      <rPr>
        <sz val="11"/>
        <color theme="1"/>
        <rFont val="Noto Sans CJK SC"/>
        <family val="2"/>
      </rPr>
      <t xml:space="preserve">도감 수 재계산</t>
    </r>
  </si>
  <si>
    <r>
      <rPr>
        <sz val="11"/>
        <color theme="1"/>
        <rFont val="Noto Sans CJK SC"/>
        <family val="2"/>
      </rPr>
      <t xml:space="preserve">시즌 방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해금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포인트</t>
    </r>
    <r>
      <rPr>
        <sz val="11"/>
        <color theme="1"/>
        <rFont val="Calibri"/>
        <family val="2"/>
        <charset val="1"/>
      </rPr>
      <t xml:space="preserve">+, </t>
    </r>
    <r>
      <rPr>
        <sz val="11"/>
        <color theme="1"/>
        <rFont val="Noto Sans CJK SC"/>
        <family val="2"/>
      </rPr>
      <t xml:space="preserve">기간 한정 노출</t>
    </r>
  </si>
  <si>
    <r>
      <rPr>
        <sz val="11"/>
        <color theme="1"/>
        <rFont val="Noto Sans CJK SC"/>
        <family val="2"/>
      </rPr>
      <t xml:space="preserve">한정 아이템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크리스마스 트리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선물 상자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겨울 시즌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</si>
  <si>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주말 포인트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광고 포인트만</t>
    </r>
    <r>
      <rPr>
        <sz val="11"/>
        <color theme="1"/>
        <rFont val="Calibri"/>
        <family val="2"/>
        <charset val="1"/>
      </rPr>
      <t xml:space="preserve">, events.weekendDoublePaw</t>
    </r>
  </si>
  <si>
    <r>
      <rPr>
        <sz val="11"/>
        <color theme="1"/>
        <rFont val="Noto Sans CJK SC"/>
        <family val="2"/>
      </rPr>
      <t xml:space="preserve">친구 초대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서로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포인트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제안값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기본 꺼짐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</si>
  <si>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어뷰징 방지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토스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원은 토스 계정당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회 서버 검증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광고 보상은 광고 완료 콜백 후에만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</si>
</sst>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0</v>
      </c>
    </row>
    <row r="3" customFormat="false" ht="17.15" hidden="false" customHeight="false" outlineLevel="0" collapsed="false">
      <c r="A3" s="2" t="s">
        <v>1</v>
      </c>
      <c r="B3" s="0" t="n">
        <f aca="false">'포인트 경제'!B12</f>
        <v>182.857142857143</v>
      </c>
    </row>
    <row r="4" customFormat="false" ht="15" hidden="false" customHeight="false" outlineLevel="0" collapsed="false">
      <c r="A4" s="2" t="s">
        <v>2</v>
      </c>
      <c r="B4" s="0" t="n">
        <v>300</v>
      </c>
    </row>
    <row r="5" customFormat="false" ht="17.15" hidden="false" customHeight="false" outlineLevel="0" collapsed="false">
      <c r="A5" s="2" t="s">
        <v>3</v>
      </c>
      <c r="B5" s="0" t="s">
        <v>4</v>
      </c>
    </row>
    <row r="6" customFormat="false" ht="17.15" hidden="false" customHeight="false" outlineLevel="0" collapsed="false">
      <c r="A6" s="2" t="s">
        <v>5</v>
      </c>
      <c r="B6" s="3" t="s">
        <v>6</v>
      </c>
    </row>
    <row r="7" customFormat="false" ht="17.15" hidden="false" customHeight="false" outlineLevel="0" collapsed="false">
      <c r="A7" s="4" t="s">
        <v>7</v>
      </c>
      <c r="B7" s="0" t="n">
        <f aca="false">'보상·토스 지급'!D10</f>
        <v>417</v>
      </c>
    </row>
    <row r="8" customFormat="false" ht="17.15" hidden="false" customHeight="false" outlineLevel="0" collapsed="false">
      <c r="A8" s="2" t="s">
        <v>8</v>
      </c>
      <c r="B8" s="0" t="s">
        <v>9</v>
      </c>
    </row>
    <row r="9" customFormat="false" ht="17.15" hidden="false" customHeight="false" outlineLevel="0" collapsed="false">
      <c r="A9" s="2" t="s">
        <v>10</v>
      </c>
      <c r="B9" s="0" t="s">
        <v>11</v>
      </c>
    </row>
    <row r="10" customFormat="false" ht="17.15" hidden="false" customHeight="false" outlineLevel="0" collapsed="false">
      <c r="A10" s="2" t="s">
        <v>12</v>
      </c>
      <c r="B10" s="0" t="s">
        <v>13</v>
      </c>
    </row>
    <row r="11" customFormat="false" ht="15" hidden="false" customHeight="false" outlineLevel="0" collapsed="false">
      <c r="A11" s="2" t="s">
        <v>14</v>
      </c>
      <c r="B11" s="0" t="n">
        <f aca="false">COUNTA('아이템 가격'!A4:A147)</f>
        <v>144</v>
      </c>
    </row>
    <row r="12" customFormat="false" ht="17.15" hidden="false" customHeight="false" outlineLevel="0" collapsed="false">
      <c r="A12" s="2" t="s">
        <v>15</v>
      </c>
      <c r="B12" s="0" t="s">
        <v>16</v>
      </c>
    </row>
    <row r="13" customFormat="false" ht="17.15" hidden="false" customHeight="false" outlineLevel="0" collapsed="false">
      <c r="A13" s="2" t="s">
        <v>17</v>
      </c>
      <c r="B13" s="0" t="n">
        <f aca="false">'보상·토스 지급'!B23</f>
        <v>230.555555555556</v>
      </c>
    </row>
    <row r="14" customFormat="false" ht="15" hidden="false" customHeight="false" outlineLevel="0" collapsed="false">
      <c r="A14" s="2" t="s">
        <v>18</v>
      </c>
      <c r="B14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18"/>
    <col collapsed="false" customWidth="true" hidden="false" outlineLevel="0" max="6" min="6" style="0" width="22"/>
  </cols>
  <sheetData>
    <row r="1" customFormat="false" ht="20.1" hidden="false" customHeight="false" outlineLevel="0" collapsed="false">
      <c r="A1" s="5" t="s">
        <v>20</v>
      </c>
    </row>
    <row r="3" customFormat="false" ht="17.15" hidden="false" customHeight="false" outlineLevel="0" collapsed="false">
      <c r="A3" s="3" t="s">
        <v>21</v>
      </c>
      <c r="B3" s="6" t="n">
        <v>10</v>
      </c>
    </row>
    <row r="4" customFormat="false" ht="17.15" hidden="false" customHeight="false" outlineLevel="0" collapsed="false">
      <c r="A4" s="3" t="s">
        <v>22</v>
      </c>
      <c r="B4" s="6" t="n">
        <v>8</v>
      </c>
    </row>
    <row r="5" customFormat="false" ht="17.15" hidden="false" customHeight="false" outlineLevel="0" collapsed="false">
      <c r="A5" s="3" t="s">
        <v>23</v>
      </c>
      <c r="B5" s="6" t="n">
        <v>4</v>
      </c>
    </row>
    <row r="6" customFormat="false" ht="17.15" hidden="false" customHeight="false" outlineLevel="0" collapsed="false">
      <c r="A6" s="3" t="s">
        <v>24</v>
      </c>
      <c r="B6" s="6" t="n">
        <v>0.6</v>
      </c>
    </row>
    <row r="7" customFormat="false" ht="17.15" hidden="false" customHeight="false" outlineLevel="0" collapsed="false">
      <c r="A7" s="3" t="s">
        <v>25</v>
      </c>
      <c r="B7" s="6" t="n">
        <v>20</v>
      </c>
    </row>
    <row r="8" customFormat="false" ht="17.15" hidden="false" customHeight="false" outlineLevel="0" collapsed="false">
      <c r="A8" s="3" t="s">
        <v>26</v>
      </c>
      <c r="B8" s="6" t="n">
        <v>20</v>
      </c>
    </row>
    <row r="9" customFormat="false" ht="17.15" hidden="false" customHeight="false" outlineLevel="0" collapsed="false">
      <c r="A9" s="3" t="s">
        <v>27</v>
      </c>
      <c r="B9" s="6" t="n">
        <v>0</v>
      </c>
    </row>
    <row r="11" customFormat="false" ht="17.15" hidden="false" customHeight="false" outlineLevel="0" collapsed="false">
      <c r="A11" s="2" t="s">
        <v>28</v>
      </c>
      <c r="B11" s="0" t="n">
        <f aca="false">B3*B4*IF(B9=1,2,1)+B5*(B6*B7+(1-B6)*B8)</f>
        <v>160</v>
      </c>
      <c r="C11" s="3" t="s">
        <v>29</v>
      </c>
    </row>
    <row r="12" customFormat="false" ht="17.15" hidden="false" customHeight="false" outlineLevel="0" collapsed="false">
      <c r="A12" s="3" t="s">
        <v>30</v>
      </c>
      <c r="B12" s="0" t="n">
        <f aca="false">(5*(B3*B4+B5*(B6*B7+(1-B6)*B8))+2*(B3*B4*2+B5*(B6*B7+(1-B6)*B8)))/7</f>
        <v>182.857142857143</v>
      </c>
    </row>
    <row r="14" customFormat="false" ht="15" hidden="false" customHeight="false" outlineLevel="0" collapsed="false">
      <c r="A14" s="7" t="s">
        <v>31</v>
      </c>
      <c r="B14" s="7" t="s">
        <v>32</v>
      </c>
    </row>
    <row r="15" customFormat="false" ht="17.15" hidden="false" customHeight="false" outlineLevel="0" collapsed="false">
      <c r="A15" s="3" t="s">
        <v>33</v>
      </c>
      <c r="B15" s="0" t="n">
        <v>10</v>
      </c>
    </row>
    <row r="16" customFormat="false" ht="17.15" hidden="false" customHeight="false" outlineLevel="0" collapsed="false">
      <c r="A16" s="3" t="s">
        <v>34</v>
      </c>
      <c r="B16" s="0" t="n">
        <v>30</v>
      </c>
    </row>
    <row r="17" customFormat="false" ht="15" hidden="false" customHeight="false" outlineLevel="0" collapsed="false">
      <c r="A17" s="3" t="s">
        <v>35</v>
      </c>
      <c r="B17" s="0" t="n">
        <v>60</v>
      </c>
    </row>
    <row r="18" customFormat="false" ht="15" hidden="false" customHeight="false" outlineLevel="0" collapsed="false">
      <c r="A18" s="3" t="s">
        <v>36</v>
      </c>
      <c r="B18" s="0" t="n">
        <v>60</v>
      </c>
    </row>
    <row r="19" customFormat="false" ht="15" hidden="false" customHeight="false" outlineLevel="0" collapsed="false">
      <c r="A19" s="3" t="s">
        <v>37</v>
      </c>
      <c r="B19" s="0" t="n">
        <v>150</v>
      </c>
    </row>
    <row r="21" customFormat="false" ht="17.15" hidden="false" customHeight="false" outlineLevel="0" collapsed="false">
      <c r="A21" s="7" t="s">
        <v>38</v>
      </c>
      <c r="B21" s="7" t="s">
        <v>39</v>
      </c>
      <c r="C21" s="7" t="s">
        <v>40</v>
      </c>
      <c r="D21" s="7" t="s">
        <v>41</v>
      </c>
      <c r="E21" s="7" t="s">
        <v>42</v>
      </c>
    </row>
    <row r="22" customFormat="false" ht="17.15" hidden="false" customHeight="false" outlineLevel="0" collapsed="false">
      <c r="A22" s="3" t="s">
        <v>43</v>
      </c>
      <c r="B22" s="8" t="n">
        <v>0.345</v>
      </c>
      <c r="C22" s="8" t="n">
        <v>0.15</v>
      </c>
      <c r="D22" s="0" t="n">
        <v>10</v>
      </c>
      <c r="E22" s="0" t="n">
        <f aca="false">B22*D22</f>
        <v>3.45</v>
      </c>
    </row>
    <row r="23" customFormat="false" ht="17.15" hidden="false" customHeight="false" outlineLevel="0" collapsed="false">
      <c r="A23" s="3" t="s">
        <v>44</v>
      </c>
      <c r="B23" s="8" t="n">
        <v>0.285</v>
      </c>
      <c r="C23" s="8" t="n">
        <v>0.2</v>
      </c>
      <c r="D23" s="0" t="n">
        <v>10</v>
      </c>
      <c r="E23" s="0" t="n">
        <f aca="false">B23*D23</f>
        <v>2.85</v>
      </c>
    </row>
    <row r="24" customFormat="false" ht="17.15" hidden="false" customHeight="false" outlineLevel="0" collapsed="false">
      <c r="A24" s="3" t="s">
        <v>45</v>
      </c>
      <c r="B24" s="8" t="n">
        <v>0.17</v>
      </c>
      <c r="C24" s="8" t="n">
        <v>0.22</v>
      </c>
      <c r="D24" s="0" t="n">
        <v>30</v>
      </c>
      <c r="E24" s="0" t="n">
        <f aca="false">B24*D24</f>
        <v>5.1</v>
      </c>
    </row>
    <row r="25" customFormat="false" ht="17.15" hidden="false" customHeight="false" outlineLevel="0" collapsed="false">
      <c r="A25" s="3" t="s">
        <v>46</v>
      </c>
      <c r="B25" s="8" t="n">
        <v>0.1</v>
      </c>
      <c r="C25" s="8" t="n">
        <v>0.16</v>
      </c>
      <c r="D25" s="0" t="n">
        <v>30</v>
      </c>
      <c r="E25" s="0" t="n">
        <f aca="false">B25*D25</f>
        <v>3</v>
      </c>
    </row>
    <row r="26" customFormat="false" ht="17.15" hidden="false" customHeight="false" outlineLevel="0" collapsed="false">
      <c r="A26" s="3" t="s">
        <v>47</v>
      </c>
      <c r="B26" s="8" t="n">
        <v>0.035</v>
      </c>
      <c r="C26" s="8" t="n">
        <v>0.1</v>
      </c>
      <c r="D26" s="0" t="n">
        <v>30</v>
      </c>
      <c r="E26" s="0" t="n">
        <f aca="false">B26*D26</f>
        <v>1.05</v>
      </c>
    </row>
    <row r="27" customFormat="false" ht="15" hidden="false" customHeight="false" outlineLevel="0" collapsed="false">
      <c r="A27" s="3" t="s">
        <v>35</v>
      </c>
      <c r="B27" s="8" t="n">
        <v>0.04</v>
      </c>
      <c r="C27" s="8" t="n">
        <v>0.1</v>
      </c>
      <c r="D27" s="0" t="n">
        <v>60</v>
      </c>
      <c r="E27" s="0" t="n">
        <f aca="false">B27*D27</f>
        <v>2.4</v>
      </c>
    </row>
    <row r="28" customFormat="false" ht="15" hidden="false" customHeight="false" outlineLevel="0" collapsed="false">
      <c r="A28" s="3" t="s">
        <v>36</v>
      </c>
      <c r="B28" s="8" t="n">
        <v>0.015</v>
      </c>
      <c r="C28" s="8" t="n">
        <v>0.045</v>
      </c>
      <c r="D28" s="0" t="n">
        <v>60</v>
      </c>
      <c r="E28" s="0" t="n">
        <f aca="false">B28*D28</f>
        <v>0.9</v>
      </c>
    </row>
    <row r="29" customFormat="false" ht="15" hidden="false" customHeight="false" outlineLevel="0" collapsed="false">
      <c r="A29" s="3" t="s">
        <v>37</v>
      </c>
      <c r="B29" s="8" t="n">
        <v>0.01</v>
      </c>
      <c r="C29" s="8" t="n">
        <v>0.025</v>
      </c>
      <c r="D29" s="0" t="n">
        <v>150</v>
      </c>
      <c r="E29" s="0" t="n">
        <f aca="false">B29*D29</f>
        <v>1.5</v>
      </c>
    </row>
    <row r="30" customFormat="false" ht="17.15" hidden="false" customHeight="false" outlineLevel="0" collapsed="false">
      <c r="A30" s="2" t="s">
        <v>48</v>
      </c>
      <c r="B30" s="8" t="n">
        <f aca="false">SUM(B22:B29)</f>
        <v>1</v>
      </c>
      <c r="C30" s="8" t="n">
        <f aca="false">SUM(C22:C29)</f>
        <v>1</v>
      </c>
      <c r="E30" s="0" t="n">
        <f aca="false">SUM(E22:E29)</f>
        <v>20.25</v>
      </c>
    </row>
    <row r="31" customFormat="false" ht="17.15" hidden="false" customHeight="false" outlineLevel="0" collapsed="false">
      <c r="A31" s="3" t="s">
        <v>49</v>
      </c>
    </row>
    <row r="33" customFormat="false" ht="17.15" hidden="false" customHeight="false" outlineLevel="0" collapsed="false">
      <c r="A33" s="2" t="s">
        <v>50</v>
      </c>
    </row>
    <row r="34" customFormat="false" ht="17.15" hidden="false" customHeight="false" outlineLevel="0" collapsed="false">
      <c r="A34" s="7" t="s">
        <v>51</v>
      </c>
      <c r="B34" s="7" t="s">
        <v>52</v>
      </c>
      <c r="C34" s="7" t="s">
        <v>53</v>
      </c>
      <c r="D34" s="7" t="s">
        <v>54</v>
      </c>
      <c r="E34" s="7" t="s">
        <v>55</v>
      </c>
      <c r="F34" s="7" t="s">
        <v>56</v>
      </c>
    </row>
    <row r="35" customFormat="false" ht="15" hidden="false" customHeight="false" outlineLevel="0" collapsed="false">
      <c r="A35" s="0" t="n">
        <v>1</v>
      </c>
      <c r="B35" s="0" t="n">
        <v>30</v>
      </c>
      <c r="C35" s="0" t="n">
        <v>98</v>
      </c>
      <c r="D35" s="0" t="n">
        <v>4</v>
      </c>
      <c r="E35" s="0" t="n">
        <v>4</v>
      </c>
      <c r="F35" s="0" t="n">
        <v>1</v>
      </c>
    </row>
    <row r="36" customFormat="false" ht="15" hidden="false" customHeight="false" outlineLevel="0" collapsed="false">
      <c r="A36" s="0" t="n">
        <v>2</v>
      </c>
      <c r="B36" s="0" t="n">
        <v>30</v>
      </c>
      <c r="C36" s="0" t="n">
        <v>108</v>
      </c>
      <c r="D36" s="0" t="n">
        <v>8</v>
      </c>
      <c r="E36" s="0" t="n">
        <v>8</v>
      </c>
      <c r="F36" s="0" t="n">
        <v>1</v>
      </c>
    </row>
    <row r="37" customFormat="false" ht="15" hidden="false" customHeight="false" outlineLevel="0" collapsed="false">
      <c r="A37" s="0" t="n">
        <v>3</v>
      </c>
      <c r="B37" s="0" t="n">
        <v>40</v>
      </c>
      <c r="C37" s="0" t="n">
        <v>118</v>
      </c>
      <c r="D37" s="0" t="n">
        <v>11</v>
      </c>
      <c r="E37" s="0" t="n">
        <v>11</v>
      </c>
      <c r="F37" s="0" t="n">
        <v>1</v>
      </c>
    </row>
    <row r="38" customFormat="false" ht="15" hidden="false" customHeight="false" outlineLevel="0" collapsed="false">
      <c r="A38" s="0" t="n">
        <v>4</v>
      </c>
      <c r="B38" s="0" t="n">
        <v>40</v>
      </c>
      <c r="C38" s="0" t="n">
        <v>128</v>
      </c>
      <c r="D38" s="0" t="n">
        <v>15</v>
      </c>
      <c r="E38" s="0" t="n">
        <v>15</v>
      </c>
      <c r="F38" s="0" t="n">
        <v>1</v>
      </c>
    </row>
    <row r="39" customFormat="false" ht="15" hidden="false" customHeight="false" outlineLevel="0" collapsed="false">
      <c r="A39" s="0" t="n">
        <v>5</v>
      </c>
      <c r="B39" s="0" t="n">
        <v>35</v>
      </c>
      <c r="C39" s="0" t="n">
        <v>138</v>
      </c>
      <c r="D39" s="0" t="n">
        <v>18</v>
      </c>
      <c r="E39" s="0" t="n">
        <v>18</v>
      </c>
      <c r="F39" s="0" t="n">
        <v>1</v>
      </c>
    </row>
    <row r="40" customFormat="false" ht="15" hidden="false" customHeight="false" outlineLevel="0" collapsed="false">
      <c r="A40" s="0" t="n">
        <v>6</v>
      </c>
      <c r="B40" s="0" t="n">
        <v>30</v>
      </c>
      <c r="C40" s="0" t="n">
        <v>146</v>
      </c>
      <c r="D40" s="0" t="n">
        <v>21</v>
      </c>
      <c r="E40" s="0" t="n">
        <v>21</v>
      </c>
      <c r="F40" s="0" t="n">
        <v>1</v>
      </c>
    </row>
    <row r="41" customFormat="false" ht="15" hidden="false" customHeight="false" outlineLevel="0" collapsed="false">
      <c r="A41" s="0" t="n">
        <v>7</v>
      </c>
      <c r="B41" s="0" t="n">
        <v>40</v>
      </c>
      <c r="C41" s="0" t="n">
        <v>177</v>
      </c>
      <c r="D41" s="0" t="n">
        <v>24</v>
      </c>
      <c r="E41" s="0" t="n">
        <v>24</v>
      </c>
      <c r="F41" s="0" t="n">
        <v>1</v>
      </c>
    </row>
    <row r="42" customFormat="false" ht="15" hidden="false" customHeight="false" outlineLevel="0" collapsed="false">
      <c r="A42" s="0" t="n">
        <v>8</v>
      </c>
      <c r="B42" s="0" t="n">
        <v>30</v>
      </c>
      <c r="C42" s="0" t="n">
        <v>183</v>
      </c>
      <c r="D42" s="0" t="n">
        <v>27</v>
      </c>
      <c r="E42" s="0" t="n">
        <v>27</v>
      </c>
      <c r="F42" s="0" t="n">
        <v>1</v>
      </c>
    </row>
    <row r="43" customFormat="false" ht="15" hidden="false" customHeight="false" outlineLevel="0" collapsed="false">
      <c r="A43" s="0" t="n">
        <v>9</v>
      </c>
      <c r="B43" s="0" t="n">
        <v>30</v>
      </c>
      <c r="C43" s="0" t="n">
        <v>189</v>
      </c>
      <c r="D43" s="0" t="n">
        <v>30</v>
      </c>
      <c r="E43" s="0" t="n">
        <v>30</v>
      </c>
      <c r="F43" s="0" t="n">
        <v>1</v>
      </c>
    </row>
    <row r="44" customFormat="false" ht="15" hidden="false" customHeight="false" outlineLevel="0" collapsed="false">
      <c r="A44" s="0" t="n">
        <v>10</v>
      </c>
      <c r="B44" s="0" t="n">
        <v>30</v>
      </c>
      <c r="C44" s="0" t="n">
        <v>195</v>
      </c>
      <c r="D44" s="0" t="n">
        <v>33</v>
      </c>
      <c r="E44" s="0" t="n">
        <v>33</v>
      </c>
      <c r="F44" s="0" t="n">
        <v>1</v>
      </c>
    </row>
    <row r="45" customFormat="false" ht="15" hidden="false" customHeight="false" outlineLevel="0" collapsed="false">
      <c r="A45" s="0" t="n">
        <v>11</v>
      </c>
      <c r="B45" s="0" t="n">
        <v>40</v>
      </c>
      <c r="C45" s="0" t="n">
        <v>199</v>
      </c>
      <c r="D45" s="0" t="n">
        <v>35</v>
      </c>
      <c r="E45" s="0" t="n">
        <v>35</v>
      </c>
      <c r="F45" s="0" t="n">
        <v>1</v>
      </c>
    </row>
    <row r="46" customFormat="false" ht="15" hidden="false" customHeight="false" outlineLevel="0" collapsed="false">
      <c r="A46" s="0" t="n">
        <v>12</v>
      </c>
      <c r="B46" s="0" t="n">
        <v>105</v>
      </c>
      <c r="C46" s="0" t="n">
        <v>201</v>
      </c>
      <c r="D46" s="0" t="n">
        <v>37</v>
      </c>
      <c r="E46" s="0" t="n">
        <v>37</v>
      </c>
      <c r="F46" s="0" t="n">
        <v>1</v>
      </c>
    </row>
    <row r="47" customFormat="false" ht="15" hidden="false" customHeight="false" outlineLevel="0" collapsed="false">
      <c r="A47" s="0" t="n">
        <v>13</v>
      </c>
      <c r="B47" s="0" t="n">
        <v>280</v>
      </c>
      <c r="C47" s="0" t="n">
        <v>203</v>
      </c>
      <c r="D47" s="0" t="n">
        <v>40</v>
      </c>
      <c r="E47" s="0" t="n">
        <v>40</v>
      </c>
      <c r="F47" s="0" t="n">
        <v>1</v>
      </c>
    </row>
    <row r="48" customFormat="false" ht="15" hidden="false" customHeight="false" outlineLevel="0" collapsed="false">
      <c r="A48" s="0" t="n">
        <v>14</v>
      </c>
      <c r="B48" s="0" t="n">
        <v>450</v>
      </c>
      <c r="C48" s="0" t="n">
        <v>203</v>
      </c>
      <c r="D48" s="0" t="n">
        <v>42</v>
      </c>
      <c r="E48" s="0" t="n">
        <v>42</v>
      </c>
      <c r="F48" s="0" t="n">
        <v>1</v>
      </c>
    </row>
    <row r="49" customFormat="false" ht="15" hidden="false" customHeight="false" outlineLevel="0" collapsed="false">
      <c r="A49" s="0" t="n">
        <v>15</v>
      </c>
      <c r="B49" s="0" t="n">
        <v>620</v>
      </c>
      <c r="C49" s="0" t="n">
        <v>203</v>
      </c>
      <c r="D49" s="0" t="n">
        <v>44</v>
      </c>
      <c r="E49" s="0" t="n">
        <v>45</v>
      </c>
      <c r="F49" s="0" t="n">
        <v>1</v>
      </c>
    </row>
    <row r="50" customFormat="false" ht="15" hidden="false" customHeight="false" outlineLevel="0" collapsed="false">
      <c r="A50" s="0" t="n">
        <v>16</v>
      </c>
      <c r="B50" s="0" t="n">
        <v>790</v>
      </c>
      <c r="C50" s="0" t="n">
        <v>203</v>
      </c>
      <c r="D50" s="0" t="n">
        <v>46</v>
      </c>
      <c r="E50" s="0" t="n">
        <v>47</v>
      </c>
      <c r="F50" s="0" t="n">
        <v>1</v>
      </c>
    </row>
    <row r="51" customFormat="false" ht="15" hidden="false" customHeight="false" outlineLevel="0" collapsed="false">
      <c r="A51" s="0" t="n">
        <v>17</v>
      </c>
      <c r="B51" s="0" t="n">
        <v>960</v>
      </c>
      <c r="C51" s="0" t="n">
        <v>203</v>
      </c>
      <c r="D51" s="0" t="n">
        <v>48</v>
      </c>
      <c r="E51" s="0" t="n">
        <v>49</v>
      </c>
      <c r="F51" s="0" t="n">
        <v>1</v>
      </c>
    </row>
    <row r="52" customFormat="false" ht="15" hidden="false" customHeight="false" outlineLevel="0" collapsed="false">
      <c r="A52" s="0" t="n">
        <v>18</v>
      </c>
      <c r="B52" s="0" t="n">
        <v>1110</v>
      </c>
      <c r="C52" s="0" t="n">
        <v>203</v>
      </c>
      <c r="D52" s="0" t="n">
        <v>50</v>
      </c>
      <c r="E52" s="0" t="n">
        <v>51</v>
      </c>
      <c r="F52" s="0" t="n">
        <v>1</v>
      </c>
    </row>
    <row r="53" customFormat="false" ht="15" hidden="false" customHeight="false" outlineLevel="0" collapsed="false">
      <c r="A53" s="0" t="n">
        <v>19</v>
      </c>
      <c r="B53" s="0" t="n">
        <v>1185</v>
      </c>
      <c r="C53" s="0" t="n">
        <v>203</v>
      </c>
      <c r="D53" s="0" t="n">
        <v>52</v>
      </c>
      <c r="E53" s="0" t="n">
        <v>53</v>
      </c>
      <c r="F53" s="0" t="n">
        <v>1</v>
      </c>
    </row>
    <row r="54" customFormat="false" ht="15" hidden="false" customHeight="false" outlineLevel="0" collapsed="false">
      <c r="A54" s="0" t="n">
        <v>20</v>
      </c>
      <c r="B54" s="0" t="n">
        <v>1150</v>
      </c>
      <c r="C54" s="0" t="n">
        <v>205</v>
      </c>
      <c r="D54" s="0" t="n">
        <v>54</v>
      </c>
      <c r="E54" s="0" t="n">
        <v>55</v>
      </c>
      <c r="F54" s="0" t="n">
        <v>1</v>
      </c>
    </row>
    <row r="55" customFormat="false" ht="15" hidden="false" customHeight="false" outlineLevel="0" collapsed="false">
      <c r="A55" s="0" t="n">
        <v>21</v>
      </c>
      <c r="B55" s="0" t="n">
        <v>30</v>
      </c>
      <c r="C55" s="0" t="n">
        <v>237</v>
      </c>
      <c r="D55" s="0" t="n">
        <v>55</v>
      </c>
      <c r="E55" s="0" t="n">
        <v>58</v>
      </c>
      <c r="F55" s="0" t="n">
        <v>2</v>
      </c>
    </row>
    <row r="56" customFormat="false" ht="15" hidden="false" customHeight="false" outlineLevel="0" collapsed="false">
      <c r="A56" s="0" t="n">
        <v>22</v>
      </c>
      <c r="B56" s="0" t="n">
        <v>30</v>
      </c>
      <c r="C56" s="0" t="n">
        <v>244</v>
      </c>
      <c r="D56" s="0" t="n">
        <v>57</v>
      </c>
      <c r="E56" s="0" t="n">
        <v>62</v>
      </c>
      <c r="F56" s="0" t="n">
        <v>2</v>
      </c>
    </row>
    <row r="57" customFormat="false" ht="15" hidden="false" customHeight="false" outlineLevel="0" collapsed="false">
      <c r="A57" s="0" t="n">
        <v>23</v>
      </c>
      <c r="B57" s="0" t="n">
        <v>20</v>
      </c>
      <c r="C57" s="0" t="n">
        <v>251</v>
      </c>
      <c r="D57" s="0" t="n">
        <v>58</v>
      </c>
      <c r="E57" s="0" t="n">
        <v>66</v>
      </c>
      <c r="F57" s="0" t="n">
        <v>2</v>
      </c>
    </row>
    <row r="58" customFormat="false" ht="15" hidden="false" customHeight="false" outlineLevel="0" collapsed="false">
      <c r="A58" s="0" t="n">
        <v>24</v>
      </c>
      <c r="B58" s="0" t="n">
        <v>20</v>
      </c>
      <c r="C58" s="0" t="n">
        <v>259</v>
      </c>
      <c r="D58" s="0" t="n">
        <v>60</v>
      </c>
      <c r="E58" s="0" t="n">
        <v>69</v>
      </c>
      <c r="F58" s="0" t="n">
        <v>2</v>
      </c>
    </row>
    <row r="59" customFormat="false" ht="15" hidden="false" customHeight="false" outlineLevel="0" collapsed="false">
      <c r="A59" s="0" t="n">
        <v>25</v>
      </c>
      <c r="B59" s="0" t="n">
        <v>30</v>
      </c>
      <c r="C59" s="0" t="n">
        <v>265</v>
      </c>
      <c r="D59" s="0" t="n">
        <v>61</v>
      </c>
      <c r="E59" s="0" t="n">
        <v>71</v>
      </c>
      <c r="F59" s="0" t="n">
        <v>2</v>
      </c>
    </row>
    <row r="60" customFormat="false" ht="15" hidden="false" customHeight="false" outlineLevel="0" collapsed="false">
      <c r="A60" s="0" t="n">
        <v>26</v>
      </c>
      <c r="B60" s="0" t="n">
        <v>30</v>
      </c>
      <c r="C60" s="0" t="n">
        <v>273</v>
      </c>
      <c r="D60" s="0" t="n">
        <v>62.5</v>
      </c>
      <c r="E60" s="0" t="n">
        <v>73</v>
      </c>
      <c r="F60" s="0" t="n">
        <v>2</v>
      </c>
    </row>
    <row r="61" customFormat="false" ht="15" hidden="false" customHeight="false" outlineLevel="0" collapsed="false">
      <c r="A61" s="0" t="n">
        <v>27</v>
      </c>
      <c r="B61" s="0" t="n">
        <v>30</v>
      </c>
      <c r="C61" s="0" t="n">
        <v>279</v>
      </c>
      <c r="D61" s="0" t="n">
        <v>64</v>
      </c>
      <c r="E61" s="0" t="n">
        <v>76</v>
      </c>
      <c r="F61" s="0" t="n">
        <v>2</v>
      </c>
    </row>
    <row r="62" customFormat="false" ht="15" hidden="false" customHeight="false" outlineLevel="0" collapsed="false">
      <c r="A62" s="0" t="n">
        <v>28</v>
      </c>
      <c r="B62" s="0" t="n">
        <v>70</v>
      </c>
      <c r="C62" s="0" t="n">
        <v>281</v>
      </c>
      <c r="D62" s="0" t="n">
        <v>65</v>
      </c>
      <c r="E62" s="0" t="n">
        <v>77</v>
      </c>
      <c r="F62" s="0" t="n">
        <v>2</v>
      </c>
    </row>
    <row r="63" customFormat="false" ht="15" hidden="false" customHeight="false" outlineLevel="0" collapsed="false">
      <c r="A63" s="0" t="n">
        <v>29</v>
      </c>
      <c r="B63" s="0" t="n">
        <v>280</v>
      </c>
      <c r="C63" s="0" t="n">
        <v>283</v>
      </c>
      <c r="D63" s="0" t="n">
        <v>66</v>
      </c>
      <c r="E63" s="0" t="n">
        <v>79</v>
      </c>
      <c r="F63" s="0" t="n">
        <v>2</v>
      </c>
    </row>
    <row r="64" customFormat="false" ht="15" hidden="false" customHeight="false" outlineLevel="0" collapsed="false">
      <c r="A64" s="0" t="n">
        <v>30</v>
      </c>
      <c r="B64" s="0" t="n">
        <v>460</v>
      </c>
      <c r="C64" s="0" t="n">
        <v>283</v>
      </c>
      <c r="D64" s="0" t="n">
        <v>67</v>
      </c>
      <c r="E64" s="0" t="n">
        <v>83</v>
      </c>
      <c r="F64" s="0" t="n">
        <v>2</v>
      </c>
    </row>
    <row r="65" customFormat="false" ht="15" hidden="false" customHeight="false" outlineLevel="0" collapsed="false">
      <c r="A65" s="0" t="n">
        <v>31</v>
      </c>
      <c r="B65" s="0" t="n">
        <v>655</v>
      </c>
      <c r="C65" s="0" t="n">
        <v>283</v>
      </c>
      <c r="D65" s="0" t="n">
        <v>68</v>
      </c>
      <c r="E65" s="0" t="n">
        <v>86</v>
      </c>
      <c r="F65" s="0" t="n">
        <v>2</v>
      </c>
    </row>
    <row r="66" customFormat="false" ht="15" hidden="false" customHeight="false" outlineLevel="0" collapsed="false">
      <c r="A66" s="0" t="n">
        <v>32</v>
      </c>
      <c r="B66" s="0" t="n">
        <v>840</v>
      </c>
      <c r="C66" s="0" t="n">
        <v>283</v>
      </c>
      <c r="D66" s="0" t="n">
        <v>69</v>
      </c>
      <c r="E66" s="0" t="n">
        <v>87</v>
      </c>
      <c r="F66" s="0" t="n">
        <v>2</v>
      </c>
    </row>
    <row r="67" customFormat="false" ht="15" hidden="false" customHeight="false" outlineLevel="0" collapsed="false">
      <c r="A67" s="0" t="n">
        <v>33</v>
      </c>
      <c r="B67" s="0" t="n">
        <v>1035</v>
      </c>
      <c r="C67" s="0" t="n">
        <v>283</v>
      </c>
      <c r="D67" s="0" t="n">
        <v>70</v>
      </c>
      <c r="E67" s="0" t="n">
        <v>90</v>
      </c>
      <c r="F67" s="0" t="n">
        <v>2</v>
      </c>
    </row>
    <row r="68" customFormat="false" ht="15" hidden="false" customHeight="false" outlineLevel="0" collapsed="false">
      <c r="A68" s="0" t="n">
        <v>34</v>
      </c>
      <c r="B68" s="0" t="n">
        <v>1250</v>
      </c>
      <c r="C68" s="0" t="n">
        <v>283</v>
      </c>
      <c r="D68" s="0" t="n">
        <v>72</v>
      </c>
      <c r="E68" s="0" t="n">
        <v>93</v>
      </c>
      <c r="F68" s="0" t="n">
        <v>2</v>
      </c>
    </row>
    <row r="69" customFormat="false" ht="15" hidden="false" customHeight="false" outlineLevel="0" collapsed="false">
      <c r="A69" s="0" t="n">
        <v>35</v>
      </c>
      <c r="B69" s="0" t="n">
        <v>1455</v>
      </c>
      <c r="C69" s="0" t="n">
        <v>283</v>
      </c>
      <c r="D69" s="0" t="n">
        <v>73</v>
      </c>
      <c r="E69" s="0" t="n">
        <v>95</v>
      </c>
      <c r="F69" s="0" t="n">
        <v>2</v>
      </c>
    </row>
    <row r="70" customFormat="false" ht="15" hidden="false" customHeight="false" outlineLevel="0" collapsed="false">
      <c r="A70" s="0" t="n">
        <v>36</v>
      </c>
      <c r="B70" s="0" t="n">
        <v>1655</v>
      </c>
      <c r="C70" s="0" t="n">
        <v>283</v>
      </c>
      <c r="D70" s="0" t="n">
        <v>74</v>
      </c>
      <c r="E70" s="0" t="n">
        <v>99</v>
      </c>
      <c r="F70" s="0" t="n">
        <v>2</v>
      </c>
    </row>
    <row r="71" customFormat="false" ht="15" hidden="false" customHeight="false" outlineLevel="0" collapsed="false">
      <c r="A71" s="0" t="n">
        <v>37</v>
      </c>
      <c r="B71" s="0" t="n">
        <v>1870</v>
      </c>
      <c r="C71" s="0" t="n">
        <v>283</v>
      </c>
      <c r="D71" s="0" t="n">
        <v>75</v>
      </c>
      <c r="E71" s="0" t="n">
        <v>103</v>
      </c>
      <c r="F71" s="0" t="n">
        <v>2</v>
      </c>
    </row>
    <row r="72" customFormat="false" ht="15" hidden="false" customHeight="false" outlineLevel="0" collapsed="false">
      <c r="A72" s="0" t="n">
        <v>38</v>
      </c>
      <c r="B72" s="0" t="n">
        <v>2040</v>
      </c>
      <c r="C72" s="0" t="n">
        <v>283</v>
      </c>
      <c r="D72" s="0" t="n">
        <v>75.5</v>
      </c>
      <c r="E72" s="0" t="n">
        <v>105</v>
      </c>
      <c r="F72" s="0" t="n">
        <v>2</v>
      </c>
    </row>
    <row r="73" customFormat="false" ht="15" hidden="false" customHeight="false" outlineLevel="0" collapsed="false">
      <c r="A73" s="0" t="n">
        <v>39</v>
      </c>
      <c r="B73" s="0" t="n">
        <v>2230</v>
      </c>
      <c r="C73" s="0" t="n">
        <v>283</v>
      </c>
      <c r="D73" s="0" t="n">
        <v>76</v>
      </c>
      <c r="E73" s="0" t="n">
        <v>107</v>
      </c>
      <c r="F73" s="0" t="n">
        <v>2</v>
      </c>
    </row>
    <row r="74" customFormat="false" ht="15" hidden="false" customHeight="false" outlineLevel="0" collapsed="false">
      <c r="A74" s="0" t="n">
        <v>40</v>
      </c>
      <c r="B74" s="0" t="n">
        <v>2360</v>
      </c>
      <c r="C74" s="0" t="n">
        <v>285</v>
      </c>
      <c r="D74" s="0" t="n">
        <v>77</v>
      </c>
      <c r="E74" s="0" t="n">
        <v>110</v>
      </c>
      <c r="F74" s="0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8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0"/>
  </cols>
  <sheetData>
    <row r="1" customFormat="false" ht="17.15" hidden="false" customHeight="false" outlineLevel="0" collapsed="false">
      <c r="A1" s="3" t="s">
        <v>57</v>
      </c>
      <c r="B1" s="2" t="n">
        <f aca="false">'포인트 경제'!B12</f>
        <v>182.857142857143</v>
      </c>
    </row>
    <row r="3" customFormat="false" ht="15" hidden="false" customHeight="false" outlineLevel="0" collapsed="false">
      <c r="A3" s="9" t="s">
        <v>58</v>
      </c>
      <c r="B3" s="7" t="s">
        <v>59</v>
      </c>
      <c r="C3" s="7" t="s">
        <v>60</v>
      </c>
      <c r="D3" s="7" t="s">
        <v>61</v>
      </c>
      <c r="E3" s="7" t="s">
        <v>62</v>
      </c>
      <c r="F3" s="7" t="s">
        <v>63</v>
      </c>
      <c r="G3" s="7" t="s">
        <v>64</v>
      </c>
      <c r="H3" s="7" t="s">
        <v>65</v>
      </c>
      <c r="I3" s="7" t="s">
        <v>66</v>
      </c>
      <c r="J3" s="7" t="s">
        <v>67</v>
      </c>
    </row>
    <row r="4" customFormat="false" ht="17.15" hidden="false" customHeight="false" outlineLevel="0" collapsed="false">
      <c r="A4" s="0" t="s">
        <v>68</v>
      </c>
      <c r="B4" s="3" t="s">
        <v>69</v>
      </c>
      <c r="C4" s="0" t="s">
        <v>70</v>
      </c>
      <c r="D4" s="3" t="s">
        <v>71</v>
      </c>
      <c r="E4" s="3" t="s">
        <v>72</v>
      </c>
      <c r="F4" s="0" t="n">
        <v>600</v>
      </c>
      <c r="G4" s="0" t="n">
        <v>25</v>
      </c>
      <c r="H4" s="0" t="n">
        <f aca="false">IF(F4=0,"기본 지급",ROUND(F4/$B$1,1))</f>
        <v>3.3</v>
      </c>
      <c r="I4" s="0" t="s">
        <v>73</v>
      </c>
      <c r="J4" s="0" t="s">
        <v>74</v>
      </c>
    </row>
    <row r="5" customFormat="false" ht="15" hidden="false" customHeight="false" outlineLevel="0" collapsed="false">
      <c r="A5" s="0" t="s">
        <v>75</v>
      </c>
      <c r="B5" s="3" t="s">
        <v>76</v>
      </c>
      <c r="C5" s="0" t="s">
        <v>70</v>
      </c>
      <c r="D5" s="3" t="s">
        <v>71</v>
      </c>
      <c r="E5" s="3" t="s">
        <v>77</v>
      </c>
      <c r="F5" s="0" t="n">
        <v>300</v>
      </c>
      <c r="G5" s="0" t="n">
        <v>10</v>
      </c>
      <c r="H5" s="0" t="n">
        <f aca="false">IF(F5=0,"기본 지급",ROUND(F5/$B$1,1))</f>
        <v>1.6</v>
      </c>
      <c r="I5" s="0" t="s">
        <v>78</v>
      </c>
      <c r="J5" s="0" t="s">
        <v>74</v>
      </c>
    </row>
    <row r="6" customFormat="false" ht="15" hidden="false" customHeight="false" outlineLevel="0" collapsed="false">
      <c r="A6" s="0" t="s">
        <v>79</v>
      </c>
      <c r="B6" s="3" t="s">
        <v>80</v>
      </c>
      <c r="C6" s="0" t="s">
        <v>70</v>
      </c>
      <c r="D6" s="3" t="s">
        <v>71</v>
      </c>
      <c r="E6" s="3" t="s">
        <v>77</v>
      </c>
      <c r="F6" s="0" t="n">
        <v>220</v>
      </c>
      <c r="G6" s="0" t="n">
        <v>10</v>
      </c>
      <c r="H6" s="0" t="n">
        <f aca="false">IF(F6=0,"기본 지급",ROUND(F6/$B$1,1))</f>
        <v>1.2</v>
      </c>
      <c r="I6" s="0" t="s">
        <v>78</v>
      </c>
      <c r="J6" s="0" t="s">
        <v>74</v>
      </c>
    </row>
    <row r="7" customFormat="false" ht="15" hidden="false" customHeight="false" outlineLevel="0" collapsed="false">
      <c r="A7" s="0" t="s">
        <v>81</v>
      </c>
      <c r="B7" s="3" t="s">
        <v>82</v>
      </c>
      <c r="C7" s="0" t="s">
        <v>70</v>
      </c>
      <c r="D7" s="3" t="s">
        <v>71</v>
      </c>
      <c r="E7" s="3" t="s">
        <v>77</v>
      </c>
      <c r="F7" s="0" t="n">
        <v>260</v>
      </c>
      <c r="G7" s="0" t="n">
        <v>10</v>
      </c>
      <c r="H7" s="0" t="n">
        <f aca="false">IF(F7=0,"기본 지급",ROUND(F7/$B$1,1))</f>
        <v>1.4</v>
      </c>
      <c r="J7" s="0" t="s">
        <v>74</v>
      </c>
    </row>
    <row r="8" customFormat="false" ht="17.15" hidden="false" customHeight="false" outlineLevel="0" collapsed="false">
      <c r="A8" s="0" t="s">
        <v>83</v>
      </c>
      <c r="B8" s="3" t="s">
        <v>84</v>
      </c>
      <c r="C8" s="0" t="s">
        <v>70</v>
      </c>
      <c r="D8" s="3" t="s">
        <v>71</v>
      </c>
      <c r="E8" s="3" t="s">
        <v>72</v>
      </c>
      <c r="F8" s="0" t="n">
        <v>650</v>
      </c>
      <c r="G8" s="0" t="n">
        <v>25</v>
      </c>
      <c r="H8" s="0" t="n">
        <f aca="false">IF(F8=0,"기본 지급",ROUND(F8/$B$1,1))</f>
        <v>3.6</v>
      </c>
      <c r="J8" s="0" t="s">
        <v>74</v>
      </c>
    </row>
    <row r="9" customFormat="false" ht="15" hidden="false" customHeight="false" outlineLevel="0" collapsed="false">
      <c r="A9" s="0" t="s">
        <v>85</v>
      </c>
      <c r="B9" s="3" t="s">
        <v>86</v>
      </c>
      <c r="C9" s="0" t="s">
        <v>70</v>
      </c>
      <c r="D9" s="3" t="s">
        <v>71</v>
      </c>
      <c r="E9" s="3" t="s">
        <v>77</v>
      </c>
      <c r="F9" s="0" t="n">
        <v>220</v>
      </c>
      <c r="G9" s="0" t="n">
        <v>10</v>
      </c>
      <c r="H9" s="0" t="n">
        <f aca="false">IF(F9=0,"기본 지급",ROUND(F9/$B$1,1))</f>
        <v>1.2</v>
      </c>
      <c r="J9" s="0" t="s">
        <v>74</v>
      </c>
    </row>
    <row r="10" customFormat="false" ht="15" hidden="false" customHeight="false" outlineLevel="0" collapsed="false">
      <c r="A10" s="0" t="s">
        <v>87</v>
      </c>
      <c r="B10" s="3" t="s">
        <v>88</v>
      </c>
      <c r="C10" s="0" t="s">
        <v>70</v>
      </c>
      <c r="D10" s="3" t="s">
        <v>71</v>
      </c>
      <c r="E10" s="3" t="s">
        <v>77</v>
      </c>
      <c r="F10" s="0" t="n">
        <v>320</v>
      </c>
      <c r="G10" s="0" t="n">
        <v>10</v>
      </c>
      <c r="H10" s="0" t="n">
        <f aca="false">IF(F10=0,"기본 지급",ROUND(F10/$B$1,1))</f>
        <v>1.8</v>
      </c>
      <c r="J10" s="0" t="s">
        <v>74</v>
      </c>
    </row>
    <row r="11" customFormat="false" ht="15" hidden="false" customHeight="false" outlineLevel="0" collapsed="false">
      <c r="A11" s="0" t="s">
        <v>89</v>
      </c>
      <c r="B11" s="3" t="s">
        <v>90</v>
      </c>
      <c r="C11" s="0" t="s">
        <v>70</v>
      </c>
      <c r="D11" s="3" t="s">
        <v>71</v>
      </c>
      <c r="E11" s="3" t="s">
        <v>77</v>
      </c>
      <c r="F11" s="0" t="n">
        <v>380</v>
      </c>
      <c r="G11" s="0" t="n">
        <v>10</v>
      </c>
      <c r="H11" s="0" t="n">
        <f aca="false">IF(F11=0,"기본 지급",ROUND(F11/$B$1,1))</f>
        <v>2.1</v>
      </c>
      <c r="J11" s="0" t="s">
        <v>74</v>
      </c>
    </row>
    <row r="12" customFormat="false" ht="15" hidden="false" customHeight="false" outlineLevel="0" collapsed="false">
      <c r="A12" s="0" t="s">
        <v>91</v>
      </c>
      <c r="B12" s="3" t="s">
        <v>92</v>
      </c>
      <c r="C12" s="0" t="s">
        <v>70</v>
      </c>
      <c r="D12" s="3" t="s">
        <v>71</v>
      </c>
      <c r="E12" s="3" t="s">
        <v>77</v>
      </c>
      <c r="F12" s="0" t="n">
        <v>240</v>
      </c>
      <c r="G12" s="0" t="n">
        <v>10</v>
      </c>
      <c r="H12" s="0" t="n">
        <f aca="false">IF(F12=0,"기본 지급",ROUND(F12/$B$1,1))</f>
        <v>1.3</v>
      </c>
      <c r="J12" s="0" t="s">
        <v>74</v>
      </c>
    </row>
    <row r="13" customFormat="false" ht="15" hidden="false" customHeight="false" outlineLevel="0" collapsed="false">
      <c r="A13" s="0" t="s">
        <v>93</v>
      </c>
      <c r="B13" s="3" t="s">
        <v>94</v>
      </c>
      <c r="C13" s="0" t="s">
        <v>70</v>
      </c>
      <c r="D13" s="3" t="s">
        <v>71</v>
      </c>
      <c r="E13" s="3" t="s">
        <v>77</v>
      </c>
      <c r="F13" s="0" t="n">
        <v>300</v>
      </c>
      <c r="G13" s="0" t="n">
        <v>10</v>
      </c>
      <c r="H13" s="0" t="n">
        <f aca="false">IF(F13=0,"기본 지급",ROUND(F13/$B$1,1))</f>
        <v>1.6</v>
      </c>
      <c r="J13" s="0" t="s">
        <v>74</v>
      </c>
    </row>
    <row r="14" customFormat="false" ht="15" hidden="false" customHeight="false" outlineLevel="0" collapsed="false">
      <c r="A14" s="0" t="s">
        <v>95</v>
      </c>
      <c r="B14" s="3" t="s">
        <v>96</v>
      </c>
      <c r="C14" s="0" t="s">
        <v>70</v>
      </c>
      <c r="D14" s="3" t="s">
        <v>71</v>
      </c>
      <c r="E14" s="3" t="s">
        <v>77</v>
      </c>
      <c r="F14" s="0" t="n">
        <v>260</v>
      </c>
      <c r="G14" s="0" t="n">
        <v>10</v>
      </c>
      <c r="H14" s="0" t="n">
        <f aca="false">IF(F14=0,"기본 지급",ROUND(F14/$B$1,1))</f>
        <v>1.4</v>
      </c>
      <c r="J14" s="0" t="s">
        <v>74</v>
      </c>
    </row>
    <row r="15" customFormat="false" ht="15" hidden="false" customHeight="false" outlineLevel="0" collapsed="false">
      <c r="A15" s="0" t="s">
        <v>97</v>
      </c>
      <c r="B15" s="3" t="s">
        <v>98</v>
      </c>
      <c r="C15" s="0" t="s">
        <v>70</v>
      </c>
      <c r="D15" s="3" t="s">
        <v>71</v>
      </c>
      <c r="E15" s="3" t="s">
        <v>77</v>
      </c>
      <c r="F15" s="0" t="n">
        <v>280</v>
      </c>
      <c r="G15" s="0" t="n">
        <v>10</v>
      </c>
      <c r="H15" s="0" t="n">
        <f aca="false">IF(F15=0,"기본 지급",ROUND(F15/$B$1,1))</f>
        <v>1.5</v>
      </c>
      <c r="J15" s="0" t="s">
        <v>74</v>
      </c>
    </row>
    <row r="16" customFormat="false" ht="17.15" hidden="false" customHeight="false" outlineLevel="0" collapsed="false">
      <c r="A16" s="0" t="s">
        <v>99</v>
      </c>
      <c r="B16" s="3" t="s">
        <v>100</v>
      </c>
      <c r="C16" s="0" t="s">
        <v>70</v>
      </c>
      <c r="D16" s="3" t="s">
        <v>71</v>
      </c>
      <c r="E16" s="3" t="s">
        <v>72</v>
      </c>
      <c r="F16" s="0" t="n">
        <v>700</v>
      </c>
      <c r="G16" s="0" t="n">
        <v>25</v>
      </c>
      <c r="H16" s="0" t="n">
        <f aca="false">IF(F16=0,"기본 지급",ROUND(F16/$B$1,1))</f>
        <v>3.8</v>
      </c>
      <c r="J16" s="0" t="s">
        <v>74</v>
      </c>
    </row>
    <row r="17" customFormat="false" ht="15" hidden="false" customHeight="false" outlineLevel="0" collapsed="false">
      <c r="A17" s="0" t="s">
        <v>101</v>
      </c>
      <c r="B17" s="3" t="s">
        <v>102</v>
      </c>
      <c r="C17" s="0" t="s">
        <v>70</v>
      </c>
      <c r="D17" s="3" t="s">
        <v>71</v>
      </c>
      <c r="E17" s="3" t="s">
        <v>77</v>
      </c>
      <c r="F17" s="0" t="n">
        <v>340</v>
      </c>
      <c r="G17" s="0" t="n">
        <v>10</v>
      </c>
      <c r="H17" s="0" t="n">
        <f aca="false">IF(F17=0,"기본 지급",ROUND(F17/$B$1,1))</f>
        <v>1.9</v>
      </c>
      <c r="J17" s="0" t="s">
        <v>74</v>
      </c>
    </row>
    <row r="18" customFormat="false" ht="15" hidden="false" customHeight="false" outlineLevel="0" collapsed="false">
      <c r="A18" s="0" t="s">
        <v>103</v>
      </c>
      <c r="B18" s="3" t="s">
        <v>104</v>
      </c>
      <c r="C18" s="0" t="s">
        <v>70</v>
      </c>
      <c r="D18" s="3" t="s">
        <v>71</v>
      </c>
      <c r="E18" s="3" t="s">
        <v>77</v>
      </c>
      <c r="F18" s="0" t="n">
        <v>200</v>
      </c>
      <c r="G18" s="0" t="n">
        <v>10</v>
      </c>
      <c r="H18" s="0" t="n">
        <f aca="false">IF(F18=0,"기본 지급",ROUND(F18/$B$1,1))</f>
        <v>1.1</v>
      </c>
      <c r="J18" s="0" t="s">
        <v>74</v>
      </c>
    </row>
    <row r="19" customFormat="false" ht="15" hidden="false" customHeight="false" outlineLevel="0" collapsed="false">
      <c r="A19" s="0" t="s">
        <v>105</v>
      </c>
      <c r="B19" s="3" t="s">
        <v>106</v>
      </c>
      <c r="C19" s="0" t="s">
        <v>70</v>
      </c>
      <c r="D19" s="3" t="s">
        <v>71</v>
      </c>
      <c r="E19" s="3" t="s">
        <v>77</v>
      </c>
      <c r="F19" s="0" t="n">
        <v>280</v>
      </c>
      <c r="G19" s="0" t="n">
        <v>10</v>
      </c>
      <c r="H19" s="0" t="n">
        <f aca="false">IF(F19=0,"기본 지급",ROUND(F19/$B$1,1))</f>
        <v>1.5</v>
      </c>
      <c r="J19" s="0" t="s">
        <v>74</v>
      </c>
    </row>
    <row r="20" customFormat="false" ht="15" hidden="false" customHeight="false" outlineLevel="0" collapsed="false">
      <c r="A20" s="0" t="s">
        <v>107</v>
      </c>
      <c r="B20" s="3" t="s">
        <v>108</v>
      </c>
      <c r="C20" s="0" t="s">
        <v>70</v>
      </c>
      <c r="D20" s="3" t="s">
        <v>109</v>
      </c>
      <c r="E20" s="3" t="s">
        <v>110</v>
      </c>
      <c r="F20" s="0" t="n">
        <v>90</v>
      </c>
      <c r="G20" s="0" t="n">
        <v>4</v>
      </c>
      <c r="H20" s="0" t="n">
        <f aca="false">IF(F20=0,"기본 지급",ROUND(F20/$B$1,1))</f>
        <v>0.5</v>
      </c>
      <c r="I20" s="0" t="s">
        <v>78</v>
      </c>
      <c r="J20" s="0" t="s">
        <v>74</v>
      </c>
    </row>
    <row r="21" customFormat="false" ht="15" hidden="false" customHeight="false" outlineLevel="0" collapsed="false">
      <c r="A21" s="0" t="s">
        <v>111</v>
      </c>
      <c r="B21" s="3" t="s">
        <v>112</v>
      </c>
      <c r="C21" s="0" t="s">
        <v>70</v>
      </c>
      <c r="D21" s="3" t="s">
        <v>109</v>
      </c>
      <c r="E21" s="3" t="s">
        <v>110</v>
      </c>
      <c r="F21" s="0" t="n">
        <v>130</v>
      </c>
      <c r="G21" s="0" t="n">
        <v>4</v>
      </c>
      <c r="H21" s="0" t="n">
        <f aca="false">IF(F21=0,"기본 지급",ROUND(F21/$B$1,1))</f>
        <v>0.7</v>
      </c>
      <c r="J21" s="0" t="s">
        <v>74</v>
      </c>
    </row>
    <row r="22" customFormat="false" ht="15" hidden="false" customHeight="false" outlineLevel="0" collapsed="false">
      <c r="A22" s="0" t="s">
        <v>113</v>
      </c>
      <c r="B22" s="3" t="s">
        <v>114</v>
      </c>
      <c r="C22" s="0" t="s">
        <v>70</v>
      </c>
      <c r="D22" s="3" t="s">
        <v>109</v>
      </c>
      <c r="E22" s="3" t="s">
        <v>110</v>
      </c>
      <c r="F22" s="0" t="n">
        <v>120</v>
      </c>
      <c r="G22" s="0" t="n">
        <v>4</v>
      </c>
      <c r="H22" s="0" t="n">
        <f aca="false">IF(F22=0,"기본 지급",ROUND(F22/$B$1,1))</f>
        <v>0.7</v>
      </c>
      <c r="I22" s="0" t="s">
        <v>73</v>
      </c>
      <c r="J22" s="0" t="s">
        <v>74</v>
      </c>
    </row>
    <row r="23" customFormat="false" ht="15" hidden="false" customHeight="false" outlineLevel="0" collapsed="false">
      <c r="A23" s="0" t="s">
        <v>115</v>
      </c>
      <c r="B23" s="3" t="s">
        <v>116</v>
      </c>
      <c r="C23" s="0" t="s">
        <v>70</v>
      </c>
      <c r="D23" s="3" t="s">
        <v>109</v>
      </c>
      <c r="E23" s="3" t="s">
        <v>110</v>
      </c>
      <c r="F23" s="0" t="n">
        <v>140</v>
      </c>
      <c r="G23" s="0" t="n">
        <v>4</v>
      </c>
      <c r="H23" s="0" t="n">
        <f aca="false">IF(F23=0,"기본 지급",ROUND(F23/$B$1,1))</f>
        <v>0.8</v>
      </c>
      <c r="J23" s="0" t="s">
        <v>74</v>
      </c>
    </row>
    <row r="24" customFormat="false" ht="15" hidden="false" customHeight="false" outlineLevel="0" collapsed="false">
      <c r="A24" s="0" t="s">
        <v>117</v>
      </c>
      <c r="B24" s="3" t="s">
        <v>118</v>
      </c>
      <c r="C24" s="0" t="s">
        <v>70</v>
      </c>
      <c r="D24" s="3" t="s">
        <v>109</v>
      </c>
      <c r="E24" s="3" t="s">
        <v>110</v>
      </c>
      <c r="F24" s="0" t="n">
        <v>90</v>
      </c>
      <c r="G24" s="0" t="n">
        <v>4</v>
      </c>
      <c r="H24" s="0" t="n">
        <f aca="false">IF(F24=0,"기본 지급",ROUND(F24/$B$1,1))</f>
        <v>0.5</v>
      </c>
      <c r="I24" s="0" t="s">
        <v>119</v>
      </c>
      <c r="J24" s="0" t="s">
        <v>74</v>
      </c>
    </row>
    <row r="25" customFormat="false" ht="15" hidden="false" customHeight="false" outlineLevel="0" collapsed="false">
      <c r="A25" s="0" t="s">
        <v>120</v>
      </c>
      <c r="B25" s="3" t="s">
        <v>121</v>
      </c>
      <c r="C25" s="0" t="s">
        <v>70</v>
      </c>
      <c r="D25" s="3" t="s">
        <v>109</v>
      </c>
      <c r="E25" s="3" t="s">
        <v>110</v>
      </c>
      <c r="F25" s="0" t="n">
        <v>100</v>
      </c>
      <c r="G25" s="0" t="n">
        <v>4</v>
      </c>
      <c r="H25" s="0" t="n">
        <f aca="false">IF(F25=0,"기본 지급",ROUND(F25/$B$1,1))</f>
        <v>0.5</v>
      </c>
      <c r="I25" s="0" t="s">
        <v>119</v>
      </c>
      <c r="J25" s="0" t="s">
        <v>74</v>
      </c>
    </row>
    <row r="26" customFormat="false" ht="15" hidden="false" customHeight="false" outlineLevel="0" collapsed="false">
      <c r="A26" s="0" t="s">
        <v>122</v>
      </c>
      <c r="B26" s="3" t="s">
        <v>123</v>
      </c>
      <c r="C26" s="0" t="s">
        <v>70</v>
      </c>
      <c r="D26" s="3" t="s">
        <v>109</v>
      </c>
      <c r="E26" s="3" t="s">
        <v>110</v>
      </c>
      <c r="F26" s="0" t="n">
        <v>150</v>
      </c>
      <c r="G26" s="0" t="n">
        <v>4</v>
      </c>
      <c r="H26" s="0" t="n">
        <f aca="false">IF(F26=0,"기본 지급",ROUND(F26/$B$1,1))</f>
        <v>0.8</v>
      </c>
      <c r="I26" s="0" t="s">
        <v>78</v>
      </c>
      <c r="J26" s="0" t="s">
        <v>74</v>
      </c>
    </row>
    <row r="27" customFormat="false" ht="15" hidden="false" customHeight="false" outlineLevel="0" collapsed="false">
      <c r="A27" s="0" t="s">
        <v>124</v>
      </c>
      <c r="B27" s="3" t="s">
        <v>125</v>
      </c>
      <c r="C27" s="0" t="s">
        <v>70</v>
      </c>
      <c r="D27" s="3" t="s">
        <v>109</v>
      </c>
      <c r="E27" s="3" t="s">
        <v>110</v>
      </c>
      <c r="F27" s="0" t="n">
        <v>150</v>
      </c>
      <c r="G27" s="0" t="n">
        <v>4</v>
      </c>
      <c r="H27" s="0" t="n">
        <f aca="false">IF(F27=0,"기본 지급",ROUND(F27/$B$1,1))</f>
        <v>0.8</v>
      </c>
      <c r="I27" s="0" t="s">
        <v>126</v>
      </c>
      <c r="J27" s="0" t="s">
        <v>74</v>
      </c>
    </row>
    <row r="28" customFormat="false" ht="15" hidden="false" customHeight="false" outlineLevel="0" collapsed="false">
      <c r="A28" s="0" t="s">
        <v>127</v>
      </c>
      <c r="B28" s="3" t="s">
        <v>128</v>
      </c>
      <c r="C28" s="0" t="s">
        <v>70</v>
      </c>
      <c r="D28" s="3" t="s">
        <v>109</v>
      </c>
      <c r="E28" s="3" t="s">
        <v>110</v>
      </c>
      <c r="F28" s="0" t="n">
        <v>150</v>
      </c>
      <c r="G28" s="0" t="n">
        <v>4</v>
      </c>
      <c r="H28" s="0" t="n">
        <f aca="false">IF(F28=0,"기본 지급",ROUND(F28/$B$1,1))</f>
        <v>0.8</v>
      </c>
      <c r="J28" s="0" t="s">
        <v>74</v>
      </c>
    </row>
    <row r="29" customFormat="false" ht="15" hidden="false" customHeight="false" outlineLevel="0" collapsed="false">
      <c r="A29" s="0" t="s">
        <v>129</v>
      </c>
      <c r="B29" s="3" t="s">
        <v>130</v>
      </c>
      <c r="C29" s="0" t="s">
        <v>70</v>
      </c>
      <c r="D29" s="3" t="s">
        <v>109</v>
      </c>
      <c r="E29" s="3" t="s">
        <v>110</v>
      </c>
      <c r="F29" s="0" t="n">
        <v>140</v>
      </c>
      <c r="G29" s="0" t="n">
        <v>4</v>
      </c>
      <c r="H29" s="0" t="n">
        <f aca="false">IF(F29=0,"기본 지급",ROUND(F29/$B$1,1))</f>
        <v>0.8</v>
      </c>
      <c r="J29" s="0" t="s">
        <v>74</v>
      </c>
    </row>
    <row r="30" customFormat="false" ht="15" hidden="false" customHeight="false" outlineLevel="0" collapsed="false">
      <c r="A30" s="0" t="s">
        <v>131</v>
      </c>
      <c r="B30" s="3" t="s">
        <v>132</v>
      </c>
      <c r="C30" s="0" t="s">
        <v>70</v>
      </c>
      <c r="D30" s="3" t="s">
        <v>109</v>
      </c>
      <c r="E30" s="3" t="s">
        <v>110</v>
      </c>
      <c r="F30" s="0" t="n">
        <v>120</v>
      </c>
      <c r="G30" s="0" t="n">
        <v>4</v>
      </c>
      <c r="H30" s="0" t="n">
        <f aca="false">IF(F30=0,"기본 지급",ROUND(F30/$B$1,1))</f>
        <v>0.7</v>
      </c>
      <c r="I30" s="0" t="s">
        <v>73</v>
      </c>
      <c r="J30" s="0" t="s">
        <v>74</v>
      </c>
    </row>
    <row r="31" customFormat="false" ht="15" hidden="false" customHeight="false" outlineLevel="0" collapsed="false">
      <c r="A31" s="0" t="s">
        <v>133</v>
      </c>
      <c r="B31" s="3" t="s">
        <v>134</v>
      </c>
      <c r="C31" s="0" t="s">
        <v>70</v>
      </c>
      <c r="D31" s="3" t="s">
        <v>109</v>
      </c>
      <c r="E31" s="3" t="s">
        <v>110</v>
      </c>
      <c r="F31" s="0" t="n">
        <v>80</v>
      </c>
      <c r="G31" s="0" t="n">
        <v>4</v>
      </c>
      <c r="H31" s="0" t="n">
        <f aca="false">IF(F31=0,"기본 지급",ROUND(F31/$B$1,1))</f>
        <v>0.4</v>
      </c>
      <c r="I31" s="0" t="s">
        <v>73</v>
      </c>
      <c r="J31" s="0" t="s">
        <v>74</v>
      </c>
    </row>
    <row r="32" customFormat="false" ht="15" hidden="false" customHeight="false" outlineLevel="0" collapsed="false">
      <c r="A32" s="0" t="s">
        <v>135</v>
      </c>
      <c r="B32" s="3" t="s">
        <v>136</v>
      </c>
      <c r="C32" s="0" t="s">
        <v>70</v>
      </c>
      <c r="D32" s="3" t="s">
        <v>109</v>
      </c>
      <c r="E32" s="3" t="s">
        <v>110</v>
      </c>
      <c r="F32" s="0" t="n">
        <v>150</v>
      </c>
      <c r="G32" s="0" t="n">
        <v>4</v>
      </c>
      <c r="H32" s="0" t="n">
        <f aca="false">IF(F32=0,"기본 지급",ROUND(F32/$B$1,1))</f>
        <v>0.8</v>
      </c>
      <c r="J32" s="0" t="s">
        <v>74</v>
      </c>
    </row>
    <row r="33" customFormat="false" ht="15" hidden="false" customHeight="false" outlineLevel="0" collapsed="false">
      <c r="A33" s="0" t="s">
        <v>137</v>
      </c>
      <c r="B33" s="3" t="s">
        <v>138</v>
      </c>
      <c r="C33" s="0" t="s">
        <v>70</v>
      </c>
      <c r="D33" s="3" t="s">
        <v>109</v>
      </c>
      <c r="E33" s="3" t="s">
        <v>110</v>
      </c>
      <c r="F33" s="0" t="n">
        <v>150</v>
      </c>
      <c r="G33" s="0" t="n">
        <v>4</v>
      </c>
      <c r="H33" s="0" t="n">
        <f aca="false">IF(F33=0,"기본 지급",ROUND(F33/$B$1,1))</f>
        <v>0.8</v>
      </c>
      <c r="J33" s="0" t="s">
        <v>74</v>
      </c>
    </row>
    <row r="34" customFormat="false" ht="15" hidden="false" customHeight="false" outlineLevel="0" collapsed="false">
      <c r="A34" s="0" t="s">
        <v>139</v>
      </c>
      <c r="B34" s="3" t="s">
        <v>140</v>
      </c>
      <c r="C34" s="0" t="s">
        <v>70</v>
      </c>
      <c r="D34" s="3" t="s">
        <v>109</v>
      </c>
      <c r="E34" s="3" t="s">
        <v>110</v>
      </c>
      <c r="F34" s="0" t="n">
        <v>110</v>
      </c>
      <c r="G34" s="0" t="n">
        <v>4</v>
      </c>
      <c r="H34" s="0" t="n">
        <f aca="false">IF(F34=0,"기본 지급",ROUND(F34/$B$1,1))</f>
        <v>0.6</v>
      </c>
      <c r="I34" s="0" t="s">
        <v>73</v>
      </c>
      <c r="J34" s="0" t="s">
        <v>74</v>
      </c>
    </row>
    <row r="35" customFormat="false" ht="15" hidden="false" customHeight="false" outlineLevel="0" collapsed="false">
      <c r="A35" s="0" t="s">
        <v>141</v>
      </c>
      <c r="B35" s="3" t="s">
        <v>142</v>
      </c>
      <c r="C35" s="0" t="s">
        <v>70</v>
      </c>
      <c r="D35" s="3" t="s">
        <v>109</v>
      </c>
      <c r="E35" s="3" t="s">
        <v>110</v>
      </c>
      <c r="F35" s="0" t="n">
        <v>100</v>
      </c>
      <c r="G35" s="0" t="n">
        <v>4</v>
      </c>
      <c r="H35" s="0" t="n">
        <f aca="false">IF(F35=0,"기본 지급",ROUND(F35/$B$1,1))</f>
        <v>0.5</v>
      </c>
      <c r="I35" s="0" t="s">
        <v>126</v>
      </c>
      <c r="J35" s="0" t="s">
        <v>74</v>
      </c>
    </row>
    <row r="36" customFormat="false" ht="15" hidden="false" customHeight="false" outlineLevel="0" collapsed="false">
      <c r="A36" s="0" t="s">
        <v>143</v>
      </c>
      <c r="B36" s="3" t="s">
        <v>144</v>
      </c>
      <c r="C36" s="0" t="s">
        <v>70</v>
      </c>
      <c r="D36" s="3" t="s">
        <v>145</v>
      </c>
      <c r="E36" s="3" t="s">
        <v>145</v>
      </c>
      <c r="F36" s="0" t="n">
        <v>200</v>
      </c>
      <c r="G36" s="0" t="n">
        <v>6</v>
      </c>
      <c r="H36" s="0" t="n">
        <f aca="false">IF(F36=0,"기본 지급",ROUND(F36/$B$1,1))</f>
        <v>1.1</v>
      </c>
      <c r="I36" s="0" t="s">
        <v>78</v>
      </c>
      <c r="J36" s="0" t="s">
        <v>74</v>
      </c>
    </row>
    <row r="37" customFormat="false" ht="15" hidden="false" customHeight="false" outlineLevel="0" collapsed="false">
      <c r="A37" s="0" t="s">
        <v>146</v>
      </c>
      <c r="B37" s="3" t="s">
        <v>147</v>
      </c>
      <c r="C37" s="0" t="s">
        <v>70</v>
      </c>
      <c r="D37" s="3" t="s">
        <v>145</v>
      </c>
      <c r="E37" s="3" t="s">
        <v>145</v>
      </c>
      <c r="F37" s="0" t="n">
        <v>180</v>
      </c>
      <c r="G37" s="0" t="n">
        <v>6</v>
      </c>
      <c r="H37" s="0" t="n">
        <f aca="false">IF(F37=0,"기본 지급",ROUND(F37/$B$1,1))</f>
        <v>1</v>
      </c>
      <c r="J37" s="0" t="s">
        <v>74</v>
      </c>
    </row>
    <row r="38" customFormat="false" ht="15" hidden="false" customHeight="false" outlineLevel="0" collapsed="false">
      <c r="A38" s="0" t="s">
        <v>148</v>
      </c>
      <c r="B38" s="3" t="s">
        <v>149</v>
      </c>
      <c r="C38" s="0" t="s">
        <v>70</v>
      </c>
      <c r="D38" s="3" t="s">
        <v>150</v>
      </c>
      <c r="E38" s="3" t="s">
        <v>145</v>
      </c>
      <c r="F38" s="0" t="n">
        <v>120</v>
      </c>
      <c r="G38" s="0" t="n">
        <v>6</v>
      </c>
      <c r="H38" s="0" t="n">
        <f aca="false">IF(F38=0,"기본 지급",ROUND(F38/$B$1,1))</f>
        <v>0.7</v>
      </c>
      <c r="J38" s="0" t="s">
        <v>74</v>
      </c>
    </row>
    <row r="39" customFormat="false" ht="15" hidden="false" customHeight="false" outlineLevel="0" collapsed="false">
      <c r="A39" s="0" t="s">
        <v>151</v>
      </c>
      <c r="B39" s="3" t="s">
        <v>152</v>
      </c>
      <c r="C39" s="0" t="s">
        <v>70</v>
      </c>
      <c r="D39" s="3" t="s">
        <v>150</v>
      </c>
      <c r="E39" s="3" t="s">
        <v>145</v>
      </c>
      <c r="F39" s="0" t="n">
        <v>100</v>
      </c>
      <c r="G39" s="0" t="n">
        <v>6</v>
      </c>
      <c r="H39" s="0" t="n">
        <f aca="false">IF(F39=0,"기본 지급",ROUND(F39/$B$1,1))</f>
        <v>0.5</v>
      </c>
      <c r="I39" s="0" t="s">
        <v>78</v>
      </c>
      <c r="J39" s="0" t="s">
        <v>74</v>
      </c>
    </row>
    <row r="40" customFormat="false" ht="15" hidden="false" customHeight="false" outlineLevel="0" collapsed="false">
      <c r="A40" s="0" t="s">
        <v>153</v>
      </c>
      <c r="B40" s="3" t="s">
        <v>154</v>
      </c>
      <c r="C40" s="0" t="s">
        <v>70</v>
      </c>
      <c r="D40" s="3" t="s">
        <v>145</v>
      </c>
      <c r="E40" s="3" t="s">
        <v>145</v>
      </c>
      <c r="F40" s="0" t="n">
        <v>160</v>
      </c>
      <c r="G40" s="0" t="n">
        <v>6</v>
      </c>
      <c r="H40" s="0" t="n">
        <f aca="false">IF(F40=0,"기본 지급",ROUND(F40/$B$1,1))</f>
        <v>0.9</v>
      </c>
      <c r="J40" s="0" t="s">
        <v>74</v>
      </c>
    </row>
    <row r="41" customFormat="false" ht="15" hidden="false" customHeight="false" outlineLevel="0" collapsed="false">
      <c r="A41" s="0" t="s">
        <v>155</v>
      </c>
      <c r="B41" s="3" t="s">
        <v>156</v>
      </c>
      <c r="C41" s="0" t="s">
        <v>70</v>
      </c>
      <c r="D41" s="3" t="s">
        <v>145</v>
      </c>
      <c r="E41" s="3" t="s">
        <v>145</v>
      </c>
      <c r="F41" s="0" t="n">
        <v>180</v>
      </c>
      <c r="G41" s="0" t="n">
        <v>6</v>
      </c>
      <c r="H41" s="0" t="n">
        <f aca="false">IF(F41=0,"기본 지급",ROUND(F41/$B$1,1))</f>
        <v>1</v>
      </c>
      <c r="J41" s="0" t="s">
        <v>74</v>
      </c>
    </row>
    <row r="42" customFormat="false" ht="15" hidden="false" customHeight="false" outlineLevel="0" collapsed="false">
      <c r="A42" s="0" t="s">
        <v>157</v>
      </c>
      <c r="B42" s="3" t="s">
        <v>158</v>
      </c>
      <c r="C42" s="0" t="s">
        <v>70</v>
      </c>
      <c r="D42" s="3" t="s">
        <v>145</v>
      </c>
      <c r="E42" s="3" t="s">
        <v>145</v>
      </c>
      <c r="F42" s="0" t="n">
        <v>150</v>
      </c>
      <c r="G42" s="0" t="n">
        <v>6</v>
      </c>
      <c r="H42" s="0" t="n">
        <f aca="false">IF(F42=0,"기본 지급",ROUND(F42/$B$1,1))</f>
        <v>0.8</v>
      </c>
      <c r="J42" s="0" t="s">
        <v>74</v>
      </c>
    </row>
    <row r="43" customFormat="false" ht="15" hidden="false" customHeight="false" outlineLevel="0" collapsed="false">
      <c r="A43" s="0" t="s">
        <v>159</v>
      </c>
      <c r="B43" s="3" t="s">
        <v>160</v>
      </c>
      <c r="C43" s="0" t="s">
        <v>70</v>
      </c>
      <c r="D43" s="3" t="s">
        <v>145</v>
      </c>
      <c r="E43" s="3" t="s">
        <v>145</v>
      </c>
      <c r="F43" s="0" t="n">
        <v>130</v>
      </c>
      <c r="G43" s="0" t="n">
        <v>6</v>
      </c>
      <c r="H43" s="0" t="n">
        <f aca="false">IF(F43=0,"기본 지급",ROUND(F43/$B$1,1))</f>
        <v>0.7</v>
      </c>
      <c r="I43" s="0" t="s">
        <v>73</v>
      </c>
      <c r="J43" s="0" t="s">
        <v>74</v>
      </c>
    </row>
    <row r="44" customFormat="false" ht="15" hidden="false" customHeight="false" outlineLevel="0" collapsed="false">
      <c r="A44" s="0" t="s">
        <v>161</v>
      </c>
      <c r="B44" s="3" t="s">
        <v>162</v>
      </c>
      <c r="C44" s="0" t="s">
        <v>70</v>
      </c>
      <c r="D44" s="3" t="s">
        <v>145</v>
      </c>
      <c r="E44" s="3" t="s">
        <v>145</v>
      </c>
      <c r="F44" s="0" t="n">
        <v>220</v>
      </c>
      <c r="G44" s="0" t="n">
        <v>6</v>
      </c>
      <c r="H44" s="0" t="n">
        <f aca="false">IF(F44=0,"기본 지급",ROUND(F44/$B$1,1))</f>
        <v>1.2</v>
      </c>
      <c r="J44" s="0" t="s">
        <v>74</v>
      </c>
    </row>
    <row r="45" customFormat="false" ht="15" hidden="false" customHeight="false" outlineLevel="0" collapsed="false">
      <c r="A45" s="0" t="s">
        <v>163</v>
      </c>
      <c r="B45" s="3" t="s">
        <v>164</v>
      </c>
      <c r="C45" s="0" t="s">
        <v>70</v>
      </c>
      <c r="D45" s="3" t="s">
        <v>145</v>
      </c>
      <c r="E45" s="3" t="s">
        <v>145</v>
      </c>
      <c r="F45" s="0" t="n">
        <v>170</v>
      </c>
      <c r="G45" s="0" t="n">
        <v>6</v>
      </c>
      <c r="H45" s="0" t="n">
        <f aca="false">IF(F45=0,"기본 지급",ROUND(F45/$B$1,1))</f>
        <v>0.9</v>
      </c>
      <c r="J45" s="0" t="s">
        <v>74</v>
      </c>
    </row>
    <row r="46" customFormat="false" ht="15" hidden="false" customHeight="false" outlineLevel="0" collapsed="false">
      <c r="A46" s="0" t="s">
        <v>165</v>
      </c>
      <c r="B46" s="3" t="s">
        <v>166</v>
      </c>
      <c r="C46" s="0" t="s">
        <v>70</v>
      </c>
      <c r="D46" s="3" t="s">
        <v>145</v>
      </c>
      <c r="E46" s="3" t="s">
        <v>145</v>
      </c>
      <c r="F46" s="0" t="n">
        <v>200</v>
      </c>
      <c r="G46" s="0" t="n">
        <v>6</v>
      </c>
      <c r="H46" s="0" t="n">
        <f aca="false">IF(F46=0,"기본 지급",ROUND(F46/$B$1,1))</f>
        <v>1.1</v>
      </c>
      <c r="J46" s="0" t="s">
        <v>74</v>
      </c>
    </row>
    <row r="47" customFormat="false" ht="15" hidden="false" customHeight="false" outlineLevel="0" collapsed="false">
      <c r="A47" s="0" t="s">
        <v>167</v>
      </c>
      <c r="B47" s="3" t="s">
        <v>168</v>
      </c>
      <c r="C47" s="0" t="s">
        <v>70</v>
      </c>
      <c r="D47" s="3" t="s">
        <v>145</v>
      </c>
      <c r="E47" s="3" t="s">
        <v>145</v>
      </c>
      <c r="F47" s="0" t="n">
        <v>120</v>
      </c>
      <c r="G47" s="0" t="n">
        <v>6</v>
      </c>
      <c r="H47" s="0" t="n">
        <f aca="false">IF(F47=0,"기본 지급",ROUND(F47/$B$1,1))</f>
        <v>0.7</v>
      </c>
      <c r="J47" s="0" t="s">
        <v>74</v>
      </c>
    </row>
    <row r="48" customFormat="false" ht="15" hidden="false" customHeight="false" outlineLevel="0" collapsed="false">
      <c r="A48" s="0" t="s">
        <v>169</v>
      </c>
      <c r="B48" s="3" t="s">
        <v>170</v>
      </c>
      <c r="C48" s="0" t="s">
        <v>70</v>
      </c>
      <c r="D48" s="3" t="s">
        <v>145</v>
      </c>
      <c r="E48" s="3" t="s">
        <v>145</v>
      </c>
      <c r="F48" s="0" t="n">
        <v>250</v>
      </c>
      <c r="G48" s="0" t="n">
        <v>6</v>
      </c>
      <c r="H48" s="0" t="n">
        <f aca="false">IF(F48=0,"기본 지급",ROUND(F48/$B$1,1))</f>
        <v>1.4</v>
      </c>
      <c r="J48" s="0" t="s">
        <v>74</v>
      </c>
    </row>
    <row r="49" customFormat="false" ht="15" hidden="false" customHeight="false" outlineLevel="0" collapsed="false">
      <c r="A49" s="0" t="s">
        <v>171</v>
      </c>
      <c r="B49" s="3" t="s">
        <v>172</v>
      </c>
      <c r="C49" s="0" t="s">
        <v>70</v>
      </c>
      <c r="D49" s="3" t="s">
        <v>145</v>
      </c>
      <c r="E49" s="3" t="s">
        <v>145</v>
      </c>
      <c r="F49" s="0" t="n">
        <v>240</v>
      </c>
      <c r="G49" s="0" t="n">
        <v>6</v>
      </c>
      <c r="H49" s="0" t="n">
        <f aca="false">IF(F49=0,"기본 지급",ROUND(F49/$B$1,1))</f>
        <v>1.3</v>
      </c>
      <c r="J49" s="0" t="s">
        <v>74</v>
      </c>
    </row>
    <row r="50" customFormat="false" ht="15" hidden="false" customHeight="false" outlineLevel="0" collapsed="false">
      <c r="A50" s="0" t="s">
        <v>173</v>
      </c>
      <c r="B50" s="3" t="s">
        <v>174</v>
      </c>
      <c r="C50" s="0" t="s">
        <v>70</v>
      </c>
      <c r="D50" s="3" t="s">
        <v>145</v>
      </c>
      <c r="E50" s="3" t="s">
        <v>145</v>
      </c>
      <c r="F50" s="0" t="n">
        <v>140</v>
      </c>
      <c r="G50" s="0" t="n">
        <v>6</v>
      </c>
      <c r="H50" s="0" t="n">
        <f aca="false">IF(F50=0,"기본 지급",ROUND(F50/$B$1,1))</f>
        <v>0.8</v>
      </c>
      <c r="J50" s="0" t="s">
        <v>74</v>
      </c>
    </row>
    <row r="51" customFormat="false" ht="15" hidden="false" customHeight="false" outlineLevel="0" collapsed="false">
      <c r="A51" s="0" t="s">
        <v>175</v>
      </c>
      <c r="B51" s="3" t="s">
        <v>176</v>
      </c>
      <c r="C51" s="0" t="s">
        <v>70</v>
      </c>
      <c r="D51" s="3" t="s">
        <v>145</v>
      </c>
      <c r="E51" s="3" t="s">
        <v>145</v>
      </c>
      <c r="F51" s="0" t="n">
        <v>100</v>
      </c>
      <c r="G51" s="0" t="n">
        <v>6</v>
      </c>
      <c r="H51" s="0" t="n">
        <f aca="false">IF(F51=0,"기본 지급",ROUND(F51/$B$1,1))</f>
        <v>0.5</v>
      </c>
      <c r="I51" s="0" t="s">
        <v>73</v>
      </c>
      <c r="J51" s="0" t="s">
        <v>74</v>
      </c>
    </row>
    <row r="52" customFormat="false" ht="17.15" hidden="false" customHeight="false" outlineLevel="0" collapsed="false">
      <c r="A52" s="0" t="s">
        <v>177</v>
      </c>
      <c r="B52" s="3" t="s">
        <v>178</v>
      </c>
      <c r="C52" s="0" t="s">
        <v>70</v>
      </c>
      <c r="D52" s="3" t="s">
        <v>179</v>
      </c>
      <c r="E52" s="3" t="s">
        <v>180</v>
      </c>
      <c r="F52" s="0" t="n">
        <v>0</v>
      </c>
      <c r="G52" s="0" t="n">
        <v>8</v>
      </c>
      <c r="H52" s="0" t="str">
        <f aca="false">IF(F52=0,"기본 지급",ROUND(F52/$B$1,1))</f>
        <v>기본 지급</v>
      </c>
      <c r="I52" s="0" t="s">
        <v>181</v>
      </c>
      <c r="J52" s="0" t="s">
        <v>74</v>
      </c>
    </row>
    <row r="53" customFormat="false" ht="17.15" hidden="false" customHeight="false" outlineLevel="0" collapsed="false">
      <c r="A53" s="0" t="s">
        <v>182</v>
      </c>
      <c r="B53" s="3" t="s">
        <v>183</v>
      </c>
      <c r="C53" s="0" t="s">
        <v>70</v>
      </c>
      <c r="D53" s="3" t="s">
        <v>179</v>
      </c>
      <c r="E53" s="3" t="s">
        <v>180</v>
      </c>
      <c r="F53" s="0" t="n">
        <v>200</v>
      </c>
      <c r="G53" s="0" t="n">
        <v>8</v>
      </c>
      <c r="H53" s="0" t="n">
        <f aca="false">IF(F53=0,"기본 지급",ROUND(F53/$B$1,1))</f>
        <v>1.1</v>
      </c>
      <c r="J53" s="0" t="s">
        <v>74</v>
      </c>
    </row>
    <row r="54" customFormat="false" ht="17.15" hidden="false" customHeight="false" outlineLevel="0" collapsed="false">
      <c r="A54" s="0" t="s">
        <v>184</v>
      </c>
      <c r="B54" s="3" t="s">
        <v>185</v>
      </c>
      <c r="C54" s="0" t="s">
        <v>70</v>
      </c>
      <c r="D54" s="3" t="s">
        <v>179</v>
      </c>
      <c r="E54" s="3" t="s">
        <v>180</v>
      </c>
      <c r="F54" s="0" t="n">
        <v>240</v>
      </c>
      <c r="G54" s="0" t="n">
        <v>8</v>
      </c>
      <c r="H54" s="0" t="n">
        <f aca="false">IF(F54=0,"기본 지급",ROUND(F54/$B$1,1))</f>
        <v>1.3</v>
      </c>
      <c r="I54" s="0" t="s">
        <v>119</v>
      </c>
      <c r="J54" s="0" t="s">
        <v>74</v>
      </c>
    </row>
    <row r="55" customFormat="false" ht="17.15" hidden="false" customHeight="false" outlineLevel="0" collapsed="false">
      <c r="A55" s="0" t="s">
        <v>186</v>
      </c>
      <c r="B55" s="3" t="s">
        <v>187</v>
      </c>
      <c r="C55" s="0" t="s">
        <v>70</v>
      </c>
      <c r="D55" s="3" t="s">
        <v>179</v>
      </c>
      <c r="E55" s="3" t="s">
        <v>180</v>
      </c>
      <c r="F55" s="0" t="n">
        <v>240</v>
      </c>
      <c r="G55" s="0" t="n">
        <v>8</v>
      </c>
      <c r="H55" s="0" t="n">
        <f aca="false">IF(F55=0,"기본 지급",ROUND(F55/$B$1,1))</f>
        <v>1.3</v>
      </c>
      <c r="J55" s="0" t="s">
        <v>74</v>
      </c>
    </row>
    <row r="56" customFormat="false" ht="17.15" hidden="false" customHeight="false" outlineLevel="0" collapsed="false">
      <c r="A56" s="0" t="s">
        <v>188</v>
      </c>
      <c r="B56" s="3" t="s">
        <v>189</v>
      </c>
      <c r="C56" s="0" t="s">
        <v>70</v>
      </c>
      <c r="D56" s="3" t="s">
        <v>179</v>
      </c>
      <c r="E56" s="3" t="s">
        <v>180</v>
      </c>
      <c r="F56" s="0" t="n">
        <v>280</v>
      </c>
      <c r="G56" s="0" t="n">
        <v>8</v>
      </c>
      <c r="H56" s="0" t="n">
        <f aca="false">IF(F56=0,"기본 지급",ROUND(F56/$B$1,1))</f>
        <v>1.5</v>
      </c>
      <c r="J56" s="0" t="s">
        <v>74</v>
      </c>
    </row>
    <row r="57" customFormat="false" ht="17.15" hidden="false" customHeight="false" outlineLevel="0" collapsed="false">
      <c r="A57" s="0" t="s">
        <v>190</v>
      </c>
      <c r="B57" s="3" t="s">
        <v>191</v>
      </c>
      <c r="C57" s="0" t="s">
        <v>70</v>
      </c>
      <c r="D57" s="3" t="s">
        <v>179</v>
      </c>
      <c r="E57" s="3" t="s">
        <v>180</v>
      </c>
      <c r="F57" s="0" t="n">
        <v>320</v>
      </c>
      <c r="G57" s="0" t="n">
        <v>8</v>
      </c>
      <c r="H57" s="0" t="n">
        <f aca="false">IF(F57=0,"기본 지급",ROUND(F57/$B$1,1))</f>
        <v>1.8</v>
      </c>
      <c r="J57" s="0" t="s">
        <v>74</v>
      </c>
    </row>
    <row r="58" customFormat="false" ht="17.15" hidden="false" customHeight="false" outlineLevel="0" collapsed="false">
      <c r="A58" s="0" t="s">
        <v>192</v>
      </c>
      <c r="B58" s="3" t="s">
        <v>193</v>
      </c>
      <c r="C58" s="0" t="s">
        <v>70</v>
      </c>
      <c r="D58" s="3" t="s">
        <v>179</v>
      </c>
      <c r="E58" s="3" t="s">
        <v>180</v>
      </c>
      <c r="F58" s="0" t="n">
        <v>300</v>
      </c>
      <c r="G58" s="0" t="n">
        <v>8</v>
      </c>
      <c r="H58" s="0" t="n">
        <f aca="false">IF(F58=0,"기본 지급",ROUND(F58/$B$1,1))</f>
        <v>1.6</v>
      </c>
      <c r="J58" s="0" t="s">
        <v>74</v>
      </c>
    </row>
    <row r="59" customFormat="false" ht="17.15" hidden="false" customHeight="false" outlineLevel="0" collapsed="false">
      <c r="A59" s="0" t="s">
        <v>194</v>
      </c>
      <c r="B59" s="3" t="s">
        <v>195</v>
      </c>
      <c r="C59" s="0" t="s">
        <v>70</v>
      </c>
      <c r="D59" s="3" t="s">
        <v>179</v>
      </c>
      <c r="E59" s="3" t="s">
        <v>180</v>
      </c>
      <c r="F59" s="0" t="n">
        <v>360</v>
      </c>
      <c r="G59" s="0" t="n">
        <v>8</v>
      </c>
      <c r="H59" s="0" t="n">
        <f aca="false">IF(F59=0,"기본 지급",ROUND(F59/$B$1,1))</f>
        <v>2</v>
      </c>
      <c r="J59" s="0" t="s">
        <v>74</v>
      </c>
    </row>
    <row r="60" customFormat="false" ht="17.15" hidden="false" customHeight="false" outlineLevel="0" collapsed="false">
      <c r="A60" s="0" t="s">
        <v>196</v>
      </c>
      <c r="B60" s="3" t="s">
        <v>197</v>
      </c>
      <c r="C60" s="0" t="s">
        <v>70</v>
      </c>
      <c r="D60" s="3" t="s">
        <v>179</v>
      </c>
      <c r="E60" s="3" t="s">
        <v>180</v>
      </c>
      <c r="F60" s="0" t="n">
        <v>260</v>
      </c>
      <c r="G60" s="0" t="n">
        <v>8</v>
      </c>
      <c r="H60" s="0" t="n">
        <f aca="false">IF(F60=0,"기본 지급",ROUND(F60/$B$1,1))</f>
        <v>1.4</v>
      </c>
      <c r="J60" s="0" t="s">
        <v>74</v>
      </c>
    </row>
    <row r="61" customFormat="false" ht="17.15" hidden="false" customHeight="false" outlineLevel="0" collapsed="false">
      <c r="A61" s="0" t="s">
        <v>198</v>
      </c>
      <c r="B61" s="3" t="s">
        <v>199</v>
      </c>
      <c r="C61" s="0" t="s">
        <v>70</v>
      </c>
      <c r="D61" s="3" t="s">
        <v>179</v>
      </c>
      <c r="E61" s="3" t="s">
        <v>180</v>
      </c>
      <c r="F61" s="0" t="n">
        <v>300</v>
      </c>
      <c r="G61" s="0" t="n">
        <v>8</v>
      </c>
      <c r="H61" s="0" t="n">
        <f aca="false">IF(F61=0,"기본 지급",ROUND(F61/$B$1,1))</f>
        <v>1.6</v>
      </c>
      <c r="J61" s="0" t="s">
        <v>74</v>
      </c>
    </row>
    <row r="62" customFormat="false" ht="17.15" hidden="false" customHeight="false" outlineLevel="0" collapsed="false">
      <c r="A62" s="0" t="s">
        <v>200</v>
      </c>
      <c r="B62" s="3" t="s">
        <v>201</v>
      </c>
      <c r="C62" s="0" t="s">
        <v>70</v>
      </c>
      <c r="D62" s="3" t="s">
        <v>179</v>
      </c>
      <c r="E62" s="3" t="s">
        <v>180</v>
      </c>
      <c r="F62" s="0" t="n">
        <v>340</v>
      </c>
      <c r="G62" s="0" t="n">
        <v>8</v>
      </c>
      <c r="H62" s="0" t="n">
        <f aca="false">IF(F62=0,"기본 지급",ROUND(F62/$B$1,1))</f>
        <v>1.9</v>
      </c>
      <c r="J62" s="0" t="s">
        <v>74</v>
      </c>
    </row>
    <row r="63" customFormat="false" ht="17.15" hidden="false" customHeight="false" outlineLevel="0" collapsed="false">
      <c r="A63" s="0" t="s">
        <v>202</v>
      </c>
      <c r="B63" s="3" t="s">
        <v>203</v>
      </c>
      <c r="C63" s="0" t="s">
        <v>70</v>
      </c>
      <c r="D63" s="3" t="s">
        <v>179</v>
      </c>
      <c r="E63" s="3" t="s">
        <v>180</v>
      </c>
      <c r="F63" s="0" t="n">
        <v>320</v>
      </c>
      <c r="G63" s="0" t="n">
        <v>8</v>
      </c>
      <c r="H63" s="0" t="n">
        <f aca="false">IF(F63=0,"기본 지급",ROUND(F63/$B$1,1))</f>
        <v>1.8</v>
      </c>
      <c r="J63" s="0" t="s">
        <v>74</v>
      </c>
    </row>
    <row r="64" customFormat="false" ht="17.15" hidden="false" customHeight="false" outlineLevel="0" collapsed="false">
      <c r="A64" s="0" t="s">
        <v>204</v>
      </c>
      <c r="B64" s="3" t="s">
        <v>205</v>
      </c>
      <c r="C64" s="0" t="s">
        <v>70</v>
      </c>
      <c r="D64" s="3" t="s">
        <v>206</v>
      </c>
      <c r="E64" s="3" t="s">
        <v>180</v>
      </c>
      <c r="F64" s="0" t="n">
        <v>0</v>
      </c>
      <c r="G64" s="0" t="n">
        <v>8</v>
      </c>
      <c r="H64" s="0" t="str">
        <f aca="false">IF(F64=0,"기본 지급",ROUND(F64/$B$1,1))</f>
        <v>기본 지급</v>
      </c>
      <c r="I64" s="0" t="s">
        <v>181</v>
      </c>
      <c r="J64" s="0" t="s">
        <v>74</v>
      </c>
    </row>
    <row r="65" customFormat="false" ht="17.15" hidden="false" customHeight="false" outlineLevel="0" collapsed="false">
      <c r="A65" s="0" t="s">
        <v>207</v>
      </c>
      <c r="B65" s="3" t="s">
        <v>208</v>
      </c>
      <c r="C65" s="0" t="s">
        <v>70</v>
      </c>
      <c r="D65" s="3" t="s">
        <v>206</v>
      </c>
      <c r="E65" s="3" t="s">
        <v>180</v>
      </c>
      <c r="F65" s="0" t="n">
        <v>220</v>
      </c>
      <c r="G65" s="0" t="n">
        <v>8</v>
      </c>
      <c r="H65" s="0" t="n">
        <f aca="false">IF(F65=0,"기본 지급",ROUND(F65/$B$1,1))</f>
        <v>1.2</v>
      </c>
      <c r="J65" s="0" t="s">
        <v>74</v>
      </c>
    </row>
    <row r="66" customFormat="false" ht="17.15" hidden="false" customHeight="false" outlineLevel="0" collapsed="false">
      <c r="A66" s="0" t="s">
        <v>209</v>
      </c>
      <c r="B66" s="3" t="s">
        <v>210</v>
      </c>
      <c r="C66" s="0" t="s">
        <v>70</v>
      </c>
      <c r="D66" s="3" t="s">
        <v>206</v>
      </c>
      <c r="E66" s="3" t="s">
        <v>180</v>
      </c>
      <c r="F66" s="0" t="n">
        <v>240</v>
      </c>
      <c r="G66" s="0" t="n">
        <v>8</v>
      </c>
      <c r="H66" s="0" t="n">
        <f aca="false">IF(F66=0,"기본 지급",ROUND(F66/$B$1,1))</f>
        <v>1.3</v>
      </c>
      <c r="J66" s="0" t="s">
        <v>74</v>
      </c>
    </row>
    <row r="67" customFormat="false" ht="17.15" hidden="false" customHeight="false" outlineLevel="0" collapsed="false">
      <c r="A67" s="0" t="s">
        <v>211</v>
      </c>
      <c r="B67" s="3" t="s">
        <v>212</v>
      </c>
      <c r="C67" s="0" t="s">
        <v>70</v>
      </c>
      <c r="D67" s="3" t="s">
        <v>206</v>
      </c>
      <c r="E67" s="3" t="s">
        <v>180</v>
      </c>
      <c r="F67" s="0" t="n">
        <v>240</v>
      </c>
      <c r="G67" s="0" t="n">
        <v>8</v>
      </c>
      <c r="H67" s="0" t="n">
        <f aca="false">IF(F67=0,"기본 지급",ROUND(F67/$B$1,1))</f>
        <v>1.3</v>
      </c>
      <c r="I67" s="0" t="s">
        <v>119</v>
      </c>
      <c r="J67" s="0" t="s">
        <v>74</v>
      </c>
    </row>
    <row r="68" customFormat="false" ht="17.15" hidden="false" customHeight="false" outlineLevel="0" collapsed="false">
      <c r="A68" s="0" t="s">
        <v>213</v>
      </c>
      <c r="B68" s="3" t="s">
        <v>214</v>
      </c>
      <c r="C68" s="0" t="s">
        <v>70</v>
      </c>
      <c r="D68" s="3" t="s">
        <v>206</v>
      </c>
      <c r="E68" s="3" t="s">
        <v>180</v>
      </c>
      <c r="F68" s="0" t="n">
        <v>280</v>
      </c>
      <c r="G68" s="0" t="n">
        <v>8</v>
      </c>
      <c r="H68" s="0" t="n">
        <f aca="false">IF(F68=0,"기본 지급",ROUND(F68/$B$1,1))</f>
        <v>1.5</v>
      </c>
      <c r="J68" s="0" t="s">
        <v>74</v>
      </c>
    </row>
    <row r="69" customFormat="false" ht="17.15" hidden="false" customHeight="false" outlineLevel="0" collapsed="false">
      <c r="A69" s="0" t="s">
        <v>215</v>
      </c>
      <c r="B69" s="3" t="s">
        <v>216</v>
      </c>
      <c r="C69" s="0" t="s">
        <v>70</v>
      </c>
      <c r="D69" s="3" t="s">
        <v>206</v>
      </c>
      <c r="E69" s="3" t="s">
        <v>180</v>
      </c>
      <c r="F69" s="0" t="n">
        <v>380</v>
      </c>
      <c r="G69" s="0" t="n">
        <v>8</v>
      </c>
      <c r="H69" s="0" t="n">
        <f aca="false">IF(F69=0,"기본 지급",ROUND(F69/$B$1,1))</f>
        <v>2.1</v>
      </c>
      <c r="J69" s="0" t="s">
        <v>74</v>
      </c>
    </row>
    <row r="70" customFormat="false" ht="17.15" hidden="false" customHeight="false" outlineLevel="0" collapsed="false">
      <c r="A70" s="0" t="s">
        <v>217</v>
      </c>
      <c r="B70" s="3" t="s">
        <v>218</v>
      </c>
      <c r="C70" s="0" t="s">
        <v>70</v>
      </c>
      <c r="D70" s="3" t="s">
        <v>206</v>
      </c>
      <c r="E70" s="3" t="s">
        <v>180</v>
      </c>
      <c r="F70" s="0" t="n">
        <v>260</v>
      </c>
      <c r="G70" s="0" t="n">
        <v>8</v>
      </c>
      <c r="H70" s="0" t="n">
        <f aca="false">IF(F70=0,"기본 지급",ROUND(F70/$B$1,1))</f>
        <v>1.4</v>
      </c>
      <c r="J70" s="0" t="s">
        <v>74</v>
      </c>
    </row>
    <row r="71" customFormat="false" ht="17.15" hidden="false" customHeight="false" outlineLevel="0" collapsed="false">
      <c r="A71" s="0" t="s">
        <v>219</v>
      </c>
      <c r="B71" s="3" t="s">
        <v>220</v>
      </c>
      <c r="C71" s="0" t="s">
        <v>70</v>
      </c>
      <c r="D71" s="3" t="s">
        <v>206</v>
      </c>
      <c r="E71" s="3" t="s">
        <v>180</v>
      </c>
      <c r="F71" s="0" t="n">
        <v>300</v>
      </c>
      <c r="G71" s="0" t="n">
        <v>8</v>
      </c>
      <c r="H71" s="0" t="n">
        <f aca="false">IF(F71=0,"기본 지급",ROUND(F71/$B$1,1))</f>
        <v>1.6</v>
      </c>
      <c r="J71" s="0" t="s">
        <v>74</v>
      </c>
    </row>
    <row r="72" customFormat="false" ht="17.15" hidden="false" customHeight="false" outlineLevel="0" collapsed="false">
      <c r="A72" s="0" t="s">
        <v>221</v>
      </c>
      <c r="B72" s="3" t="s">
        <v>222</v>
      </c>
      <c r="C72" s="0" t="s">
        <v>70</v>
      </c>
      <c r="D72" s="3" t="s">
        <v>206</v>
      </c>
      <c r="E72" s="3" t="s">
        <v>180</v>
      </c>
      <c r="F72" s="0" t="n">
        <v>320</v>
      </c>
      <c r="G72" s="0" t="n">
        <v>8</v>
      </c>
      <c r="H72" s="0" t="n">
        <f aca="false">IF(F72=0,"기본 지급",ROUND(F72/$B$1,1))</f>
        <v>1.8</v>
      </c>
      <c r="J72" s="0" t="s">
        <v>74</v>
      </c>
    </row>
    <row r="73" customFormat="false" ht="17.15" hidden="false" customHeight="false" outlineLevel="0" collapsed="false">
      <c r="A73" s="0" t="s">
        <v>223</v>
      </c>
      <c r="B73" s="3" t="s">
        <v>224</v>
      </c>
      <c r="C73" s="0" t="s">
        <v>70</v>
      </c>
      <c r="D73" s="3" t="s">
        <v>206</v>
      </c>
      <c r="E73" s="3" t="s">
        <v>180</v>
      </c>
      <c r="F73" s="0" t="n">
        <v>280</v>
      </c>
      <c r="G73" s="0" t="n">
        <v>8</v>
      </c>
      <c r="H73" s="0" t="n">
        <f aca="false">IF(F73=0,"기본 지급",ROUND(F73/$B$1,1))</f>
        <v>1.5</v>
      </c>
      <c r="J73" s="0" t="s">
        <v>74</v>
      </c>
    </row>
    <row r="74" customFormat="false" ht="17.15" hidden="false" customHeight="false" outlineLevel="0" collapsed="false">
      <c r="A74" s="0" t="s">
        <v>225</v>
      </c>
      <c r="B74" s="3" t="s">
        <v>226</v>
      </c>
      <c r="C74" s="0" t="s">
        <v>70</v>
      </c>
      <c r="D74" s="3" t="s">
        <v>206</v>
      </c>
      <c r="E74" s="3" t="s">
        <v>180</v>
      </c>
      <c r="F74" s="0" t="n">
        <v>260</v>
      </c>
      <c r="G74" s="0" t="n">
        <v>8</v>
      </c>
      <c r="H74" s="0" t="n">
        <f aca="false">IF(F74=0,"기본 지급",ROUND(F74/$B$1,1))</f>
        <v>1.4</v>
      </c>
      <c r="J74" s="0" t="s">
        <v>74</v>
      </c>
    </row>
    <row r="75" customFormat="false" ht="17.15" hidden="false" customHeight="false" outlineLevel="0" collapsed="false">
      <c r="A75" s="0" t="s">
        <v>227</v>
      </c>
      <c r="B75" s="3" t="s">
        <v>228</v>
      </c>
      <c r="C75" s="0" t="s">
        <v>70</v>
      </c>
      <c r="D75" s="3" t="s">
        <v>206</v>
      </c>
      <c r="E75" s="3" t="s">
        <v>180</v>
      </c>
      <c r="F75" s="0" t="n">
        <v>400</v>
      </c>
      <c r="G75" s="0" t="n">
        <v>8</v>
      </c>
      <c r="H75" s="0" t="n">
        <f aca="false">IF(F75=0,"기본 지급",ROUND(F75/$B$1,1))</f>
        <v>2.2</v>
      </c>
      <c r="J75" s="0" t="s">
        <v>74</v>
      </c>
    </row>
    <row r="76" customFormat="false" ht="17.15" hidden="false" customHeight="false" outlineLevel="0" collapsed="false">
      <c r="A76" s="0" t="s">
        <v>229</v>
      </c>
      <c r="B76" s="3" t="s">
        <v>230</v>
      </c>
      <c r="C76" s="0" t="s">
        <v>231</v>
      </c>
      <c r="D76" s="3" t="s">
        <v>71</v>
      </c>
      <c r="E76" s="3" t="s">
        <v>72</v>
      </c>
      <c r="F76" s="0" t="n">
        <v>550</v>
      </c>
      <c r="G76" s="0" t="n">
        <v>25</v>
      </c>
      <c r="H76" s="0" t="n">
        <f aca="false">IF(F76=0,"기본 지급",ROUND(F76/$B$1,1))</f>
        <v>3</v>
      </c>
      <c r="J76" s="0" t="s">
        <v>232</v>
      </c>
    </row>
    <row r="77" customFormat="false" ht="17.15" hidden="false" customHeight="false" outlineLevel="0" collapsed="false">
      <c r="A77" s="0" t="s">
        <v>233</v>
      </c>
      <c r="B77" s="3" t="s">
        <v>234</v>
      </c>
      <c r="C77" s="0" t="s">
        <v>231</v>
      </c>
      <c r="D77" s="3" t="s">
        <v>71</v>
      </c>
      <c r="E77" s="3" t="s">
        <v>72</v>
      </c>
      <c r="F77" s="0" t="n">
        <v>600</v>
      </c>
      <c r="G77" s="0" t="n">
        <v>25</v>
      </c>
      <c r="H77" s="0" t="n">
        <f aca="false">IF(F77=0,"기본 지급",ROUND(F77/$B$1,1))</f>
        <v>3.3</v>
      </c>
      <c r="J77" s="0" t="s">
        <v>232</v>
      </c>
    </row>
    <row r="78" customFormat="false" ht="17.15" hidden="false" customHeight="false" outlineLevel="0" collapsed="false">
      <c r="A78" s="0" t="s">
        <v>235</v>
      </c>
      <c r="B78" s="3" t="s">
        <v>236</v>
      </c>
      <c r="C78" s="0" t="s">
        <v>231</v>
      </c>
      <c r="D78" s="3" t="s">
        <v>71</v>
      </c>
      <c r="E78" s="3" t="s">
        <v>72</v>
      </c>
      <c r="F78" s="0" t="n">
        <v>520</v>
      </c>
      <c r="G78" s="0" t="n">
        <v>25</v>
      </c>
      <c r="H78" s="0" t="n">
        <f aca="false">IF(F78=0,"기본 지급",ROUND(F78/$B$1,1))</f>
        <v>2.8</v>
      </c>
      <c r="J78" s="0" t="s">
        <v>232</v>
      </c>
    </row>
    <row r="79" customFormat="false" ht="15" hidden="false" customHeight="false" outlineLevel="0" collapsed="false">
      <c r="A79" s="0" t="s">
        <v>237</v>
      </c>
      <c r="B79" s="3" t="s">
        <v>238</v>
      </c>
      <c r="C79" s="0" t="s">
        <v>231</v>
      </c>
      <c r="D79" s="3" t="s">
        <v>71</v>
      </c>
      <c r="E79" s="3" t="s">
        <v>77</v>
      </c>
      <c r="F79" s="0" t="n">
        <v>240</v>
      </c>
      <c r="G79" s="0" t="n">
        <v>10</v>
      </c>
      <c r="H79" s="0" t="n">
        <f aca="false">IF(F79=0,"기본 지급",ROUND(F79/$B$1,1))</f>
        <v>1.3</v>
      </c>
      <c r="I79" s="0" t="s">
        <v>239</v>
      </c>
      <c r="J79" s="0" t="s">
        <v>232</v>
      </c>
    </row>
    <row r="80" customFormat="false" ht="15" hidden="false" customHeight="false" outlineLevel="0" collapsed="false">
      <c r="A80" s="0" t="s">
        <v>240</v>
      </c>
      <c r="B80" s="3" t="s">
        <v>241</v>
      </c>
      <c r="C80" s="0" t="s">
        <v>231</v>
      </c>
      <c r="D80" s="3" t="s">
        <v>71</v>
      </c>
      <c r="E80" s="3" t="s">
        <v>77</v>
      </c>
      <c r="F80" s="0" t="n">
        <v>200</v>
      </c>
      <c r="G80" s="0" t="n">
        <v>10</v>
      </c>
      <c r="H80" s="0" t="n">
        <f aca="false">IF(F80=0,"기본 지급",ROUND(F80/$B$1,1))</f>
        <v>1.1</v>
      </c>
      <c r="I80" s="0" t="s">
        <v>239</v>
      </c>
      <c r="J80" s="0" t="s">
        <v>232</v>
      </c>
    </row>
    <row r="81" customFormat="false" ht="15" hidden="false" customHeight="false" outlineLevel="0" collapsed="false">
      <c r="A81" s="0" t="s">
        <v>242</v>
      </c>
      <c r="B81" s="3" t="s">
        <v>243</v>
      </c>
      <c r="C81" s="0" t="s">
        <v>231</v>
      </c>
      <c r="D81" s="3" t="s">
        <v>71</v>
      </c>
      <c r="E81" s="3" t="s">
        <v>77</v>
      </c>
      <c r="F81" s="0" t="n">
        <v>200</v>
      </c>
      <c r="G81" s="0" t="n">
        <v>10</v>
      </c>
      <c r="H81" s="0" t="n">
        <f aca="false">IF(F81=0,"기본 지급",ROUND(F81/$B$1,1))</f>
        <v>1.1</v>
      </c>
      <c r="J81" s="0" t="s">
        <v>232</v>
      </c>
    </row>
    <row r="82" customFormat="false" ht="15" hidden="false" customHeight="false" outlineLevel="0" collapsed="false">
      <c r="A82" s="0" t="s">
        <v>244</v>
      </c>
      <c r="B82" s="3" t="s">
        <v>245</v>
      </c>
      <c r="C82" s="0" t="s">
        <v>231</v>
      </c>
      <c r="D82" s="3" t="s">
        <v>109</v>
      </c>
      <c r="E82" s="3" t="s">
        <v>110</v>
      </c>
      <c r="F82" s="0" t="n">
        <v>80</v>
      </c>
      <c r="G82" s="0" t="n">
        <v>4</v>
      </c>
      <c r="H82" s="0" t="n">
        <f aca="false">IF(F82=0,"기본 지급",ROUND(F82/$B$1,1))</f>
        <v>0.4</v>
      </c>
      <c r="I82" s="0" t="s">
        <v>239</v>
      </c>
      <c r="J82" s="0" t="s">
        <v>232</v>
      </c>
    </row>
    <row r="83" customFormat="false" ht="15" hidden="false" customHeight="false" outlineLevel="0" collapsed="false">
      <c r="A83" s="0" t="s">
        <v>246</v>
      </c>
      <c r="B83" s="3" t="s">
        <v>247</v>
      </c>
      <c r="C83" s="0" t="s">
        <v>231</v>
      </c>
      <c r="D83" s="3" t="s">
        <v>71</v>
      </c>
      <c r="E83" s="3" t="s">
        <v>77</v>
      </c>
      <c r="F83" s="0" t="n">
        <v>320</v>
      </c>
      <c r="G83" s="0" t="n">
        <v>10</v>
      </c>
      <c r="H83" s="0" t="n">
        <f aca="false">IF(F83=0,"기본 지급",ROUND(F83/$B$1,1))</f>
        <v>1.8</v>
      </c>
      <c r="J83" s="0" t="s">
        <v>232</v>
      </c>
    </row>
    <row r="84" customFormat="false" ht="15" hidden="false" customHeight="false" outlineLevel="0" collapsed="false">
      <c r="A84" s="0" t="s">
        <v>248</v>
      </c>
      <c r="B84" s="3" t="s">
        <v>249</v>
      </c>
      <c r="C84" s="0" t="s">
        <v>231</v>
      </c>
      <c r="D84" s="3" t="s">
        <v>109</v>
      </c>
      <c r="E84" s="3" t="s">
        <v>110</v>
      </c>
      <c r="F84" s="0" t="n">
        <v>80</v>
      </c>
      <c r="G84" s="0" t="n">
        <v>4</v>
      </c>
      <c r="H84" s="0" t="n">
        <f aca="false">IF(F84=0,"기본 지급",ROUND(F84/$B$1,1))</f>
        <v>0.4</v>
      </c>
      <c r="J84" s="0" t="s">
        <v>232</v>
      </c>
    </row>
    <row r="85" customFormat="false" ht="15" hidden="false" customHeight="false" outlineLevel="0" collapsed="false">
      <c r="A85" s="0" t="s">
        <v>250</v>
      </c>
      <c r="B85" s="3" t="s">
        <v>251</v>
      </c>
      <c r="C85" s="0" t="s">
        <v>231</v>
      </c>
      <c r="D85" s="3" t="s">
        <v>109</v>
      </c>
      <c r="E85" s="3" t="s">
        <v>110</v>
      </c>
      <c r="F85" s="0" t="n">
        <v>150</v>
      </c>
      <c r="G85" s="0" t="n">
        <v>4</v>
      </c>
      <c r="H85" s="0" t="n">
        <f aca="false">IF(F85=0,"기본 지급",ROUND(F85/$B$1,1))</f>
        <v>0.8</v>
      </c>
      <c r="J85" s="0" t="s">
        <v>232</v>
      </c>
    </row>
    <row r="86" customFormat="false" ht="17.15" hidden="false" customHeight="false" outlineLevel="0" collapsed="false">
      <c r="A86" s="0" t="s">
        <v>252</v>
      </c>
      <c r="B86" s="3" t="s">
        <v>253</v>
      </c>
      <c r="C86" s="0" t="s">
        <v>231</v>
      </c>
      <c r="D86" s="3" t="s">
        <v>71</v>
      </c>
      <c r="E86" s="3" t="s">
        <v>72</v>
      </c>
      <c r="F86" s="0" t="n">
        <v>650</v>
      </c>
      <c r="G86" s="0" t="n">
        <v>25</v>
      </c>
      <c r="H86" s="0" t="n">
        <f aca="false">IF(F86=0,"기본 지급",ROUND(F86/$B$1,1))</f>
        <v>3.6</v>
      </c>
      <c r="J86" s="0" t="s">
        <v>232</v>
      </c>
    </row>
    <row r="87" customFormat="false" ht="17.15" hidden="false" customHeight="false" outlineLevel="0" collapsed="false">
      <c r="A87" s="0" t="s">
        <v>254</v>
      </c>
      <c r="B87" s="3" t="s">
        <v>255</v>
      </c>
      <c r="C87" s="0" t="s">
        <v>231</v>
      </c>
      <c r="D87" s="3" t="s">
        <v>71</v>
      </c>
      <c r="E87" s="3" t="s">
        <v>72</v>
      </c>
      <c r="F87" s="0" t="n">
        <v>600</v>
      </c>
      <c r="G87" s="0" t="n">
        <v>25</v>
      </c>
      <c r="H87" s="0" t="n">
        <f aca="false">IF(F87=0,"기본 지급",ROUND(F87/$B$1,1))</f>
        <v>3.3</v>
      </c>
      <c r="J87" s="0" t="s">
        <v>232</v>
      </c>
    </row>
    <row r="88" customFormat="false" ht="15" hidden="false" customHeight="false" outlineLevel="0" collapsed="false">
      <c r="A88" s="0" t="s">
        <v>256</v>
      </c>
      <c r="B88" s="3" t="s">
        <v>257</v>
      </c>
      <c r="C88" s="0" t="s">
        <v>231</v>
      </c>
      <c r="D88" s="3" t="s">
        <v>71</v>
      </c>
      <c r="E88" s="3" t="s">
        <v>77</v>
      </c>
      <c r="F88" s="0" t="n">
        <v>280</v>
      </c>
      <c r="G88" s="0" t="n">
        <v>10</v>
      </c>
      <c r="H88" s="0" t="n">
        <f aca="false">IF(F88=0,"기본 지급",ROUND(F88/$B$1,1))</f>
        <v>1.5</v>
      </c>
      <c r="J88" s="0" t="s">
        <v>232</v>
      </c>
    </row>
    <row r="89" customFormat="false" ht="15" hidden="false" customHeight="false" outlineLevel="0" collapsed="false">
      <c r="A89" s="0" t="s">
        <v>258</v>
      </c>
      <c r="B89" s="3" t="s">
        <v>259</v>
      </c>
      <c r="C89" s="0" t="s">
        <v>231</v>
      </c>
      <c r="D89" s="3" t="s">
        <v>109</v>
      </c>
      <c r="E89" s="3" t="s">
        <v>110</v>
      </c>
      <c r="F89" s="0" t="n">
        <v>80</v>
      </c>
      <c r="G89" s="0" t="n">
        <v>4</v>
      </c>
      <c r="H89" s="0" t="n">
        <f aca="false">IF(F89=0,"기본 지급",ROUND(F89/$B$1,1))</f>
        <v>0.4</v>
      </c>
      <c r="J89" s="0" t="s">
        <v>232</v>
      </c>
    </row>
    <row r="90" customFormat="false" ht="15" hidden="false" customHeight="false" outlineLevel="0" collapsed="false">
      <c r="A90" s="0" t="s">
        <v>260</v>
      </c>
      <c r="B90" s="3" t="s">
        <v>261</v>
      </c>
      <c r="C90" s="0" t="s">
        <v>231</v>
      </c>
      <c r="D90" s="3" t="s">
        <v>109</v>
      </c>
      <c r="E90" s="3" t="s">
        <v>110</v>
      </c>
      <c r="F90" s="0" t="n">
        <v>140</v>
      </c>
      <c r="G90" s="0" t="n">
        <v>4</v>
      </c>
      <c r="H90" s="0" t="n">
        <f aca="false">IF(F90=0,"기본 지급",ROUND(F90/$B$1,1))</f>
        <v>0.8</v>
      </c>
      <c r="J90" s="0" t="s">
        <v>232</v>
      </c>
    </row>
    <row r="91" customFormat="false" ht="17.15" hidden="false" customHeight="false" outlineLevel="0" collapsed="false">
      <c r="A91" s="0" t="s">
        <v>262</v>
      </c>
      <c r="B91" s="3" t="s">
        <v>263</v>
      </c>
      <c r="C91" s="0" t="s">
        <v>231</v>
      </c>
      <c r="D91" s="3" t="s">
        <v>71</v>
      </c>
      <c r="E91" s="3" t="s">
        <v>72</v>
      </c>
      <c r="F91" s="0" t="n">
        <v>500</v>
      </c>
      <c r="G91" s="0" t="n">
        <v>25</v>
      </c>
      <c r="H91" s="0" t="n">
        <f aca="false">IF(F91=0,"기본 지급",ROUND(F91/$B$1,1))</f>
        <v>2.7</v>
      </c>
      <c r="J91" s="0" t="s">
        <v>232</v>
      </c>
    </row>
    <row r="92" customFormat="false" ht="17.15" hidden="false" customHeight="false" outlineLevel="0" collapsed="false">
      <c r="A92" s="0" t="s">
        <v>264</v>
      </c>
      <c r="B92" s="3" t="s">
        <v>265</v>
      </c>
      <c r="C92" s="0" t="s">
        <v>266</v>
      </c>
      <c r="D92" s="3" t="s">
        <v>71</v>
      </c>
      <c r="E92" s="3" t="s">
        <v>72</v>
      </c>
      <c r="F92" s="0" t="n">
        <v>900</v>
      </c>
      <c r="G92" s="0" t="n">
        <v>25</v>
      </c>
      <c r="H92" s="0" t="n">
        <f aca="false">IF(F92=0,"기본 지급",ROUND(F92/$B$1,1))</f>
        <v>4.9</v>
      </c>
      <c r="J92" s="0" t="s">
        <v>232</v>
      </c>
    </row>
    <row r="93" customFormat="false" ht="17.15" hidden="false" customHeight="false" outlineLevel="0" collapsed="false">
      <c r="A93" s="0" t="s">
        <v>267</v>
      </c>
      <c r="B93" s="3" t="s">
        <v>268</v>
      </c>
      <c r="C93" s="0" t="s">
        <v>266</v>
      </c>
      <c r="D93" s="3" t="s">
        <v>71</v>
      </c>
      <c r="E93" s="3" t="s">
        <v>72</v>
      </c>
      <c r="F93" s="0" t="n">
        <v>500</v>
      </c>
      <c r="G93" s="0" t="n">
        <v>25</v>
      </c>
      <c r="H93" s="0" t="n">
        <f aca="false">IF(F93=0,"기본 지급",ROUND(F93/$B$1,1))</f>
        <v>2.7</v>
      </c>
      <c r="J93" s="0" t="s">
        <v>232</v>
      </c>
    </row>
    <row r="94" customFormat="false" ht="17.15" hidden="false" customHeight="false" outlineLevel="0" collapsed="false">
      <c r="A94" s="0" t="s">
        <v>269</v>
      </c>
      <c r="B94" s="3" t="s">
        <v>270</v>
      </c>
      <c r="C94" s="0" t="s">
        <v>266</v>
      </c>
      <c r="D94" s="3" t="s">
        <v>71</v>
      </c>
      <c r="E94" s="3" t="s">
        <v>72</v>
      </c>
      <c r="F94" s="0" t="n">
        <v>800</v>
      </c>
      <c r="G94" s="0" t="n">
        <v>25</v>
      </c>
      <c r="H94" s="0" t="n">
        <f aca="false">IF(F94=0,"기본 지급",ROUND(F94/$B$1,1))</f>
        <v>4.4</v>
      </c>
      <c r="J94" s="0" t="s">
        <v>232</v>
      </c>
    </row>
    <row r="95" customFormat="false" ht="15" hidden="false" customHeight="false" outlineLevel="0" collapsed="false">
      <c r="A95" s="0" t="s">
        <v>271</v>
      </c>
      <c r="B95" s="3" t="s">
        <v>272</v>
      </c>
      <c r="C95" s="0" t="s">
        <v>266</v>
      </c>
      <c r="D95" s="3" t="s">
        <v>109</v>
      </c>
      <c r="E95" s="3" t="s">
        <v>110</v>
      </c>
      <c r="F95" s="0" t="n">
        <v>110</v>
      </c>
      <c r="G95" s="0" t="n">
        <v>4</v>
      </c>
      <c r="H95" s="0" t="n">
        <f aca="false">IF(F95=0,"기본 지급",ROUND(F95/$B$1,1))</f>
        <v>0.6</v>
      </c>
      <c r="I95" s="0" t="s">
        <v>273</v>
      </c>
      <c r="J95" s="0" t="s">
        <v>232</v>
      </c>
    </row>
    <row r="96" customFormat="false" ht="15" hidden="false" customHeight="false" outlineLevel="0" collapsed="false">
      <c r="A96" s="0" t="s">
        <v>274</v>
      </c>
      <c r="B96" s="3" t="s">
        <v>275</v>
      </c>
      <c r="C96" s="0" t="s">
        <v>266</v>
      </c>
      <c r="D96" s="3" t="s">
        <v>71</v>
      </c>
      <c r="E96" s="3" t="s">
        <v>77</v>
      </c>
      <c r="F96" s="0" t="n">
        <v>220</v>
      </c>
      <c r="G96" s="0" t="n">
        <v>10</v>
      </c>
      <c r="H96" s="0" t="n">
        <f aca="false">IF(F96=0,"기본 지급",ROUND(F96/$B$1,1))</f>
        <v>1.2</v>
      </c>
      <c r="I96" s="0" t="s">
        <v>273</v>
      </c>
      <c r="J96" s="0" t="s">
        <v>232</v>
      </c>
    </row>
    <row r="97" customFormat="false" ht="17.15" hidden="false" customHeight="false" outlineLevel="0" collapsed="false">
      <c r="A97" s="0" t="s">
        <v>276</v>
      </c>
      <c r="B97" s="3" t="s">
        <v>277</v>
      </c>
      <c r="C97" s="0" t="s">
        <v>266</v>
      </c>
      <c r="D97" s="3" t="s">
        <v>71</v>
      </c>
      <c r="E97" s="3" t="s">
        <v>72</v>
      </c>
      <c r="F97" s="0" t="n">
        <v>700</v>
      </c>
      <c r="G97" s="0" t="n">
        <v>25</v>
      </c>
      <c r="H97" s="0" t="n">
        <f aca="false">IF(F97=0,"기본 지급",ROUND(F97/$B$1,1))</f>
        <v>3.8</v>
      </c>
      <c r="J97" s="0" t="s">
        <v>232</v>
      </c>
    </row>
    <row r="98" customFormat="false" ht="15" hidden="false" customHeight="false" outlineLevel="0" collapsed="false">
      <c r="A98" s="0" t="s">
        <v>278</v>
      </c>
      <c r="B98" s="3" t="s">
        <v>279</v>
      </c>
      <c r="C98" s="0" t="s">
        <v>266</v>
      </c>
      <c r="D98" s="3" t="s">
        <v>109</v>
      </c>
      <c r="E98" s="3" t="s">
        <v>110</v>
      </c>
      <c r="F98" s="0" t="n">
        <v>80</v>
      </c>
      <c r="G98" s="0" t="n">
        <v>4</v>
      </c>
      <c r="H98" s="0" t="n">
        <f aca="false">IF(F98=0,"기본 지급",ROUND(F98/$B$1,1))</f>
        <v>0.4</v>
      </c>
      <c r="I98" s="0" t="s">
        <v>273</v>
      </c>
      <c r="J98" s="0" t="s">
        <v>232</v>
      </c>
    </row>
    <row r="99" customFormat="false" ht="15" hidden="false" customHeight="false" outlineLevel="0" collapsed="false">
      <c r="A99" s="0" t="s">
        <v>280</v>
      </c>
      <c r="B99" s="3" t="s">
        <v>281</v>
      </c>
      <c r="C99" s="0" t="s">
        <v>266</v>
      </c>
      <c r="D99" s="3" t="s">
        <v>109</v>
      </c>
      <c r="E99" s="3" t="s">
        <v>110</v>
      </c>
      <c r="F99" s="0" t="n">
        <v>150</v>
      </c>
      <c r="G99" s="0" t="n">
        <v>4</v>
      </c>
      <c r="H99" s="0" t="n">
        <f aca="false">IF(F99=0,"기본 지급",ROUND(F99/$B$1,1))</f>
        <v>0.8</v>
      </c>
      <c r="J99" s="0" t="s">
        <v>232</v>
      </c>
    </row>
    <row r="100" customFormat="false" ht="15" hidden="false" customHeight="false" outlineLevel="0" collapsed="false">
      <c r="A100" s="0" t="s">
        <v>282</v>
      </c>
      <c r="B100" s="3" t="s">
        <v>283</v>
      </c>
      <c r="C100" s="0" t="s">
        <v>266</v>
      </c>
      <c r="D100" s="3" t="s">
        <v>109</v>
      </c>
      <c r="E100" s="3" t="s">
        <v>110</v>
      </c>
      <c r="F100" s="0" t="n">
        <v>150</v>
      </c>
      <c r="G100" s="0" t="n">
        <v>4</v>
      </c>
      <c r="H100" s="0" t="n">
        <f aca="false">IF(F100=0,"기본 지급",ROUND(F100/$B$1,1))</f>
        <v>0.8</v>
      </c>
      <c r="J100" s="0" t="s">
        <v>232</v>
      </c>
    </row>
    <row r="101" customFormat="false" ht="15" hidden="false" customHeight="false" outlineLevel="0" collapsed="false">
      <c r="A101" s="0" t="s">
        <v>284</v>
      </c>
      <c r="B101" s="3" t="s">
        <v>285</v>
      </c>
      <c r="C101" s="0" t="s">
        <v>266</v>
      </c>
      <c r="D101" s="3" t="s">
        <v>109</v>
      </c>
      <c r="E101" s="3" t="s">
        <v>110</v>
      </c>
      <c r="F101" s="0" t="n">
        <v>110</v>
      </c>
      <c r="G101" s="0" t="n">
        <v>4</v>
      </c>
      <c r="H101" s="0" t="n">
        <f aca="false">IF(F101=0,"기본 지급",ROUND(F101/$B$1,1))</f>
        <v>0.6</v>
      </c>
      <c r="J101" s="0" t="s">
        <v>232</v>
      </c>
    </row>
    <row r="102" customFormat="false" ht="15" hidden="false" customHeight="false" outlineLevel="0" collapsed="false">
      <c r="A102" s="0" t="s">
        <v>286</v>
      </c>
      <c r="B102" s="3" t="s">
        <v>287</v>
      </c>
      <c r="C102" s="0" t="s">
        <v>266</v>
      </c>
      <c r="D102" s="3" t="s">
        <v>109</v>
      </c>
      <c r="E102" s="3" t="s">
        <v>110</v>
      </c>
      <c r="F102" s="0" t="n">
        <v>130</v>
      </c>
      <c r="G102" s="0" t="n">
        <v>4</v>
      </c>
      <c r="H102" s="0" t="n">
        <f aca="false">IF(F102=0,"기본 지급",ROUND(F102/$B$1,1))</f>
        <v>0.7</v>
      </c>
      <c r="J102" s="0" t="s">
        <v>232</v>
      </c>
    </row>
    <row r="103" customFormat="false" ht="15" hidden="false" customHeight="false" outlineLevel="0" collapsed="false">
      <c r="A103" s="0" t="s">
        <v>288</v>
      </c>
      <c r="B103" s="3" t="s">
        <v>289</v>
      </c>
      <c r="C103" s="0" t="s">
        <v>266</v>
      </c>
      <c r="D103" s="3" t="s">
        <v>71</v>
      </c>
      <c r="E103" s="3" t="s">
        <v>77</v>
      </c>
      <c r="F103" s="0" t="n">
        <v>300</v>
      </c>
      <c r="G103" s="0" t="n">
        <v>10</v>
      </c>
      <c r="H103" s="0" t="n">
        <f aca="false">IF(F103=0,"기본 지급",ROUND(F103/$B$1,1))</f>
        <v>1.6</v>
      </c>
      <c r="J103" s="0" t="s">
        <v>232</v>
      </c>
    </row>
    <row r="104" customFormat="false" ht="17.15" hidden="false" customHeight="false" outlineLevel="0" collapsed="false">
      <c r="A104" s="0" t="s">
        <v>290</v>
      </c>
      <c r="B104" s="3" t="s">
        <v>291</v>
      </c>
      <c r="C104" s="0" t="s">
        <v>266</v>
      </c>
      <c r="D104" s="3" t="s">
        <v>71</v>
      </c>
      <c r="E104" s="3" t="s">
        <v>72</v>
      </c>
      <c r="F104" s="0" t="n">
        <v>550</v>
      </c>
      <c r="G104" s="0" t="n">
        <v>25</v>
      </c>
      <c r="H104" s="0" t="n">
        <f aca="false">IF(F104=0,"기본 지급",ROUND(F104/$B$1,1))</f>
        <v>3</v>
      </c>
      <c r="J104" s="0" t="s">
        <v>232</v>
      </c>
    </row>
    <row r="105" customFormat="false" ht="15" hidden="false" customHeight="false" outlineLevel="0" collapsed="false">
      <c r="A105" s="0" t="s">
        <v>292</v>
      </c>
      <c r="B105" s="3" t="s">
        <v>293</v>
      </c>
      <c r="C105" s="0" t="s">
        <v>266</v>
      </c>
      <c r="D105" s="3" t="s">
        <v>71</v>
      </c>
      <c r="E105" s="3" t="s">
        <v>77</v>
      </c>
      <c r="F105" s="0" t="n">
        <v>320</v>
      </c>
      <c r="G105" s="0" t="n">
        <v>10</v>
      </c>
      <c r="H105" s="0" t="n">
        <f aca="false">IF(F105=0,"기본 지급",ROUND(F105/$B$1,1))</f>
        <v>1.8</v>
      </c>
      <c r="J105" s="0" t="s">
        <v>232</v>
      </c>
    </row>
    <row r="106" customFormat="false" ht="17.15" hidden="false" customHeight="false" outlineLevel="0" collapsed="false">
      <c r="A106" s="0" t="s">
        <v>294</v>
      </c>
      <c r="B106" s="3" t="s">
        <v>295</v>
      </c>
      <c r="C106" s="0" t="s">
        <v>266</v>
      </c>
      <c r="D106" s="3" t="s">
        <v>71</v>
      </c>
      <c r="E106" s="3" t="s">
        <v>72</v>
      </c>
      <c r="F106" s="0" t="n">
        <v>600</v>
      </c>
      <c r="G106" s="0" t="n">
        <v>25</v>
      </c>
      <c r="H106" s="0" t="n">
        <f aca="false">IF(F106=0,"기본 지급",ROUND(F106/$B$1,1))</f>
        <v>3.3</v>
      </c>
      <c r="J106" s="0" t="s">
        <v>232</v>
      </c>
    </row>
    <row r="107" customFormat="false" ht="15" hidden="false" customHeight="false" outlineLevel="0" collapsed="false">
      <c r="A107" s="0" t="s">
        <v>296</v>
      </c>
      <c r="B107" s="3" t="s">
        <v>297</v>
      </c>
      <c r="C107" s="0" t="s">
        <v>266</v>
      </c>
      <c r="D107" s="3" t="s">
        <v>109</v>
      </c>
      <c r="E107" s="3" t="s">
        <v>110</v>
      </c>
      <c r="F107" s="0" t="n">
        <v>120</v>
      </c>
      <c r="G107" s="0" t="n">
        <v>4</v>
      </c>
      <c r="H107" s="0" t="n">
        <f aca="false">IF(F107=0,"기본 지급",ROUND(F107/$B$1,1))</f>
        <v>0.7</v>
      </c>
      <c r="J107" s="0" t="s">
        <v>232</v>
      </c>
    </row>
    <row r="108" customFormat="false" ht="15" hidden="false" customHeight="false" outlineLevel="0" collapsed="false">
      <c r="A108" s="0" t="s">
        <v>298</v>
      </c>
      <c r="B108" s="3" t="s">
        <v>299</v>
      </c>
      <c r="C108" s="0" t="s">
        <v>231</v>
      </c>
      <c r="D108" s="3" t="s">
        <v>145</v>
      </c>
      <c r="E108" s="3" t="s">
        <v>145</v>
      </c>
      <c r="F108" s="0" t="n">
        <v>160</v>
      </c>
      <c r="G108" s="0" t="n">
        <v>6</v>
      </c>
      <c r="H108" s="0" t="n">
        <f aca="false">IF(F108=0,"기본 지급",ROUND(F108/$B$1,1))</f>
        <v>0.9</v>
      </c>
      <c r="I108" s="0" t="s">
        <v>239</v>
      </c>
      <c r="J108" s="0" t="s">
        <v>232</v>
      </c>
    </row>
    <row r="109" customFormat="false" ht="15" hidden="false" customHeight="false" outlineLevel="0" collapsed="false">
      <c r="A109" s="0" t="s">
        <v>300</v>
      </c>
      <c r="B109" s="3" t="s">
        <v>154</v>
      </c>
      <c r="C109" s="0" t="s">
        <v>231</v>
      </c>
      <c r="D109" s="3" t="s">
        <v>145</v>
      </c>
      <c r="E109" s="3" t="s">
        <v>145</v>
      </c>
      <c r="F109" s="0" t="n">
        <v>180</v>
      </c>
      <c r="G109" s="0" t="n">
        <v>6</v>
      </c>
      <c r="H109" s="0" t="n">
        <f aca="false">IF(F109=0,"기본 지급",ROUND(F109/$B$1,1))</f>
        <v>1</v>
      </c>
      <c r="J109" s="0" t="s">
        <v>232</v>
      </c>
    </row>
    <row r="110" customFormat="false" ht="15" hidden="false" customHeight="false" outlineLevel="0" collapsed="false">
      <c r="A110" s="0" t="s">
        <v>301</v>
      </c>
      <c r="B110" s="3" t="s">
        <v>302</v>
      </c>
      <c r="C110" s="0" t="s">
        <v>231</v>
      </c>
      <c r="D110" s="3" t="s">
        <v>145</v>
      </c>
      <c r="E110" s="3" t="s">
        <v>145</v>
      </c>
      <c r="F110" s="0" t="n">
        <v>140</v>
      </c>
      <c r="G110" s="0" t="n">
        <v>6</v>
      </c>
      <c r="H110" s="0" t="n">
        <f aca="false">IF(F110=0,"기본 지급",ROUND(F110/$B$1,1))</f>
        <v>0.8</v>
      </c>
      <c r="J110" s="0" t="s">
        <v>232</v>
      </c>
    </row>
    <row r="111" customFormat="false" ht="15" hidden="false" customHeight="false" outlineLevel="0" collapsed="false">
      <c r="A111" s="0" t="s">
        <v>303</v>
      </c>
      <c r="B111" s="3" t="s">
        <v>304</v>
      </c>
      <c r="C111" s="0" t="s">
        <v>231</v>
      </c>
      <c r="D111" s="3" t="s">
        <v>145</v>
      </c>
      <c r="E111" s="3" t="s">
        <v>145</v>
      </c>
      <c r="F111" s="0" t="n">
        <v>220</v>
      </c>
      <c r="G111" s="0" t="n">
        <v>6</v>
      </c>
      <c r="H111" s="0" t="n">
        <f aca="false">IF(F111=0,"기본 지급",ROUND(F111/$B$1,1))</f>
        <v>1.2</v>
      </c>
      <c r="J111" s="0" t="s">
        <v>232</v>
      </c>
    </row>
    <row r="112" customFormat="false" ht="15" hidden="false" customHeight="false" outlineLevel="0" collapsed="false">
      <c r="A112" s="0" t="s">
        <v>305</v>
      </c>
      <c r="B112" s="3" t="s">
        <v>306</v>
      </c>
      <c r="C112" s="0" t="s">
        <v>231</v>
      </c>
      <c r="D112" s="3" t="s">
        <v>145</v>
      </c>
      <c r="E112" s="3" t="s">
        <v>145</v>
      </c>
      <c r="F112" s="0" t="n">
        <v>240</v>
      </c>
      <c r="G112" s="0" t="n">
        <v>6</v>
      </c>
      <c r="H112" s="0" t="n">
        <f aca="false">IF(F112=0,"기본 지급",ROUND(F112/$B$1,1))</f>
        <v>1.3</v>
      </c>
      <c r="J112" s="0" t="s">
        <v>232</v>
      </c>
    </row>
    <row r="113" customFormat="false" ht="15" hidden="false" customHeight="false" outlineLevel="0" collapsed="false">
      <c r="A113" s="0" t="s">
        <v>307</v>
      </c>
      <c r="B113" s="3" t="s">
        <v>308</v>
      </c>
      <c r="C113" s="0" t="s">
        <v>231</v>
      </c>
      <c r="D113" s="3" t="s">
        <v>145</v>
      </c>
      <c r="E113" s="3" t="s">
        <v>145</v>
      </c>
      <c r="F113" s="0" t="n">
        <v>200</v>
      </c>
      <c r="G113" s="0" t="n">
        <v>6</v>
      </c>
      <c r="H113" s="0" t="n">
        <f aca="false">IF(F113=0,"기본 지급",ROUND(F113/$B$1,1))</f>
        <v>1.1</v>
      </c>
      <c r="J113" s="0" t="s">
        <v>232</v>
      </c>
    </row>
    <row r="114" customFormat="false" ht="15" hidden="false" customHeight="false" outlineLevel="0" collapsed="false">
      <c r="A114" s="0" t="s">
        <v>309</v>
      </c>
      <c r="B114" s="3" t="s">
        <v>310</v>
      </c>
      <c r="C114" s="0" t="s">
        <v>231</v>
      </c>
      <c r="D114" s="3" t="s">
        <v>145</v>
      </c>
      <c r="E114" s="3" t="s">
        <v>145</v>
      </c>
      <c r="F114" s="0" t="n">
        <v>120</v>
      </c>
      <c r="G114" s="0" t="n">
        <v>6</v>
      </c>
      <c r="H114" s="0" t="n">
        <f aca="false">IF(F114=0,"기본 지급",ROUND(F114/$B$1,1))</f>
        <v>0.7</v>
      </c>
      <c r="J114" s="0" t="s">
        <v>232</v>
      </c>
    </row>
    <row r="115" customFormat="false" ht="15" hidden="false" customHeight="false" outlineLevel="0" collapsed="false">
      <c r="A115" s="0" t="s">
        <v>311</v>
      </c>
      <c r="B115" s="3" t="s">
        <v>160</v>
      </c>
      <c r="C115" s="0" t="s">
        <v>231</v>
      </c>
      <c r="D115" s="3" t="s">
        <v>145</v>
      </c>
      <c r="E115" s="3" t="s">
        <v>145</v>
      </c>
      <c r="F115" s="0" t="n">
        <v>110</v>
      </c>
      <c r="G115" s="0" t="n">
        <v>6</v>
      </c>
      <c r="H115" s="0" t="n">
        <f aca="false">IF(F115=0,"기본 지급",ROUND(F115/$B$1,1))</f>
        <v>0.6</v>
      </c>
      <c r="J115" s="0" t="s">
        <v>232</v>
      </c>
    </row>
    <row r="116" customFormat="false" ht="15" hidden="false" customHeight="false" outlineLevel="0" collapsed="false">
      <c r="A116" s="0" t="s">
        <v>312</v>
      </c>
      <c r="B116" s="3" t="s">
        <v>313</v>
      </c>
      <c r="C116" s="0" t="s">
        <v>266</v>
      </c>
      <c r="D116" s="3" t="s">
        <v>145</v>
      </c>
      <c r="E116" s="3" t="s">
        <v>145</v>
      </c>
      <c r="F116" s="0" t="n">
        <v>250</v>
      </c>
      <c r="G116" s="0" t="n">
        <v>6</v>
      </c>
      <c r="H116" s="0" t="n">
        <f aca="false">IF(F116=0,"기본 지급",ROUND(F116/$B$1,1))</f>
        <v>1.4</v>
      </c>
      <c r="J116" s="0" t="s">
        <v>232</v>
      </c>
    </row>
    <row r="117" customFormat="false" ht="15" hidden="false" customHeight="false" outlineLevel="0" collapsed="false">
      <c r="A117" s="0" t="s">
        <v>314</v>
      </c>
      <c r="B117" s="3" t="s">
        <v>315</v>
      </c>
      <c r="C117" s="0" t="s">
        <v>266</v>
      </c>
      <c r="D117" s="3" t="s">
        <v>145</v>
      </c>
      <c r="E117" s="3" t="s">
        <v>145</v>
      </c>
      <c r="F117" s="0" t="n">
        <v>150</v>
      </c>
      <c r="G117" s="0" t="n">
        <v>6</v>
      </c>
      <c r="H117" s="0" t="n">
        <f aca="false">IF(F117=0,"기본 지급",ROUND(F117/$B$1,1))</f>
        <v>0.8</v>
      </c>
      <c r="I117" s="0" t="s">
        <v>273</v>
      </c>
      <c r="J117" s="0" t="s">
        <v>232</v>
      </c>
    </row>
    <row r="118" customFormat="false" ht="15" hidden="false" customHeight="false" outlineLevel="0" collapsed="false">
      <c r="A118" s="0" t="s">
        <v>316</v>
      </c>
      <c r="B118" s="3" t="s">
        <v>317</v>
      </c>
      <c r="C118" s="0" t="s">
        <v>266</v>
      </c>
      <c r="D118" s="3" t="s">
        <v>145</v>
      </c>
      <c r="E118" s="3" t="s">
        <v>145</v>
      </c>
      <c r="F118" s="0" t="n">
        <v>120</v>
      </c>
      <c r="G118" s="0" t="n">
        <v>6</v>
      </c>
      <c r="H118" s="0" t="n">
        <f aca="false">IF(F118=0,"기본 지급",ROUND(F118/$B$1,1))</f>
        <v>0.7</v>
      </c>
      <c r="J118" s="0" t="s">
        <v>232</v>
      </c>
    </row>
    <row r="119" customFormat="false" ht="15" hidden="false" customHeight="false" outlineLevel="0" collapsed="false">
      <c r="A119" s="0" t="s">
        <v>318</v>
      </c>
      <c r="B119" s="3" t="s">
        <v>319</v>
      </c>
      <c r="C119" s="0" t="s">
        <v>266</v>
      </c>
      <c r="D119" s="3" t="s">
        <v>145</v>
      </c>
      <c r="E119" s="3" t="s">
        <v>145</v>
      </c>
      <c r="F119" s="0" t="n">
        <v>130</v>
      </c>
      <c r="G119" s="0" t="n">
        <v>6</v>
      </c>
      <c r="H119" s="0" t="n">
        <f aca="false">IF(F119=0,"기본 지급",ROUND(F119/$B$1,1))</f>
        <v>0.7</v>
      </c>
      <c r="J119" s="0" t="s">
        <v>232</v>
      </c>
    </row>
    <row r="120" customFormat="false" ht="15" hidden="false" customHeight="false" outlineLevel="0" collapsed="false">
      <c r="A120" s="0" t="s">
        <v>320</v>
      </c>
      <c r="B120" s="3" t="s">
        <v>321</v>
      </c>
      <c r="C120" s="0" t="s">
        <v>266</v>
      </c>
      <c r="D120" s="3" t="s">
        <v>145</v>
      </c>
      <c r="E120" s="3" t="s">
        <v>145</v>
      </c>
      <c r="F120" s="0" t="n">
        <v>180</v>
      </c>
      <c r="G120" s="0" t="n">
        <v>6</v>
      </c>
      <c r="H120" s="0" t="n">
        <f aca="false">IF(F120=0,"기본 지급",ROUND(F120/$B$1,1))</f>
        <v>1</v>
      </c>
      <c r="J120" s="0" t="s">
        <v>232</v>
      </c>
    </row>
    <row r="121" customFormat="false" ht="15" hidden="false" customHeight="false" outlineLevel="0" collapsed="false">
      <c r="A121" s="0" t="s">
        <v>322</v>
      </c>
      <c r="B121" s="3" t="s">
        <v>323</v>
      </c>
      <c r="C121" s="0" t="s">
        <v>266</v>
      </c>
      <c r="D121" s="3" t="s">
        <v>145</v>
      </c>
      <c r="E121" s="3" t="s">
        <v>145</v>
      </c>
      <c r="F121" s="0" t="n">
        <v>140</v>
      </c>
      <c r="G121" s="0" t="n">
        <v>6</v>
      </c>
      <c r="H121" s="0" t="n">
        <f aca="false">IF(F121=0,"기본 지급",ROUND(F121/$B$1,1))</f>
        <v>0.8</v>
      </c>
      <c r="J121" s="0" t="s">
        <v>232</v>
      </c>
    </row>
    <row r="122" customFormat="false" ht="15" hidden="false" customHeight="false" outlineLevel="0" collapsed="false">
      <c r="A122" s="0" t="s">
        <v>324</v>
      </c>
      <c r="B122" s="3" t="s">
        <v>325</v>
      </c>
      <c r="C122" s="0" t="s">
        <v>266</v>
      </c>
      <c r="D122" s="3" t="s">
        <v>145</v>
      </c>
      <c r="E122" s="3" t="s">
        <v>145</v>
      </c>
      <c r="F122" s="0" t="n">
        <v>100</v>
      </c>
      <c r="G122" s="0" t="n">
        <v>6</v>
      </c>
      <c r="H122" s="0" t="n">
        <f aca="false">IF(F122=0,"기본 지급",ROUND(F122/$B$1,1))</f>
        <v>0.5</v>
      </c>
      <c r="J122" s="0" t="s">
        <v>232</v>
      </c>
    </row>
    <row r="123" customFormat="false" ht="15" hidden="false" customHeight="false" outlineLevel="0" collapsed="false">
      <c r="A123" s="0" t="s">
        <v>326</v>
      </c>
      <c r="B123" s="3" t="s">
        <v>327</v>
      </c>
      <c r="C123" s="0" t="s">
        <v>266</v>
      </c>
      <c r="D123" s="3" t="s">
        <v>145</v>
      </c>
      <c r="E123" s="3" t="s">
        <v>145</v>
      </c>
      <c r="F123" s="0" t="n">
        <v>120</v>
      </c>
      <c r="G123" s="0" t="n">
        <v>6</v>
      </c>
      <c r="H123" s="0" t="n">
        <f aca="false">IF(F123=0,"기본 지급",ROUND(F123/$B$1,1))</f>
        <v>0.7</v>
      </c>
      <c r="J123" s="0" t="s">
        <v>232</v>
      </c>
    </row>
    <row r="124" customFormat="false" ht="17.15" hidden="false" customHeight="false" outlineLevel="0" collapsed="false">
      <c r="A124" s="0" t="s">
        <v>328</v>
      </c>
      <c r="B124" s="3" t="s">
        <v>329</v>
      </c>
      <c r="C124" s="0" t="s">
        <v>231</v>
      </c>
      <c r="D124" s="3" t="s">
        <v>179</v>
      </c>
      <c r="E124" s="3" t="s">
        <v>180</v>
      </c>
      <c r="F124" s="0" t="n">
        <v>0</v>
      </c>
      <c r="G124" s="0" t="n">
        <v>8</v>
      </c>
      <c r="H124" s="0" t="str">
        <f aca="false">IF(F124=0,"기본 지급",ROUND(F124/$B$1,1))</f>
        <v>기본 지급</v>
      </c>
      <c r="I124" s="0" t="s">
        <v>330</v>
      </c>
      <c r="J124" s="0" t="s">
        <v>232</v>
      </c>
    </row>
    <row r="125" customFormat="false" ht="17.15" hidden="false" customHeight="false" outlineLevel="0" collapsed="false">
      <c r="A125" s="0" t="s">
        <v>331</v>
      </c>
      <c r="B125" s="3" t="s">
        <v>332</v>
      </c>
      <c r="C125" s="0" t="s">
        <v>231</v>
      </c>
      <c r="D125" s="3" t="s">
        <v>179</v>
      </c>
      <c r="E125" s="3" t="s">
        <v>180</v>
      </c>
      <c r="F125" s="0" t="n">
        <v>240</v>
      </c>
      <c r="G125" s="0" t="n">
        <v>8</v>
      </c>
      <c r="H125" s="0" t="n">
        <f aca="false">IF(F125=0,"기본 지급",ROUND(F125/$B$1,1))</f>
        <v>1.3</v>
      </c>
      <c r="J125" s="0" t="s">
        <v>232</v>
      </c>
    </row>
    <row r="126" customFormat="false" ht="17.15" hidden="false" customHeight="false" outlineLevel="0" collapsed="false">
      <c r="A126" s="0" t="s">
        <v>333</v>
      </c>
      <c r="B126" s="3" t="s">
        <v>334</v>
      </c>
      <c r="C126" s="0" t="s">
        <v>231</v>
      </c>
      <c r="D126" s="3" t="s">
        <v>179</v>
      </c>
      <c r="E126" s="3" t="s">
        <v>180</v>
      </c>
      <c r="F126" s="0" t="n">
        <v>280</v>
      </c>
      <c r="G126" s="0" t="n">
        <v>8</v>
      </c>
      <c r="H126" s="0" t="n">
        <f aca="false">IF(F126=0,"기본 지급",ROUND(F126/$B$1,1))</f>
        <v>1.5</v>
      </c>
      <c r="J126" s="0" t="s">
        <v>232</v>
      </c>
    </row>
    <row r="127" customFormat="false" ht="17.15" hidden="false" customHeight="false" outlineLevel="0" collapsed="false">
      <c r="A127" s="0" t="s">
        <v>335</v>
      </c>
      <c r="B127" s="3" t="s">
        <v>336</v>
      </c>
      <c r="C127" s="0" t="s">
        <v>231</v>
      </c>
      <c r="D127" s="3" t="s">
        <v>179</v>
      </c>
      <c r="E127" s="3" t="s">
        <v>180</v>
      </c>
      <c r="F127" s="0" t="n">
        <v>260</v>
      </c>
      <c r="G127" s="0" t="n">
        <v>8</v>
      </c>
      <c r="H127" s="0" t="n">
        <f aca="false">IF(F127=0,"기본 지급",ROUND(F127/$B$1,1))</f>
        <v>1.4</v>
      </c>
      <c r="J127" s="0" t="s">
        <v>232</v>
      </c>
    </row>
    <row r="128" customFormat="false" ht="17.15" hidden="false" customHeight="false" outlineLevel="0" collapsed="false">
      <c r="A128" s="0" t="s">
        <v>337</v>
      </c>
      <c r="B128" s="3" t="s">
        <v>338</v>
      </c>
      <c r="C128" s="0" t="s">
        <v>231</v>
      </c>
      <c r="D128" s="3" t="s">
        <v>179</v>
      </c>
      <c r="E128" s="3" t="s">
        <v>180</v>
      </c>
      <c r="F128" s="0" t="n">
        <v>260</v>
      </c>
      <c r="G128" s="0" t="n">
        <v>8</v>
      </c>
      <c r="H128" s="0" t="n">
        <f aca="false">IF(F128=0,"기본 지급",ROUND(F128/$B$1,1))</f>
        <v>1.4</v>
      </c>
      <c r="J128" s="0" t="s">
        <v>232</v>
      </c>
    </row>
    <row r="129" customFormat="false" ht="17.15" hidden="false" customHeight="false" outlineLevel="0" collapsed="false">
      <c r="A129" s="0" t="s">
        <v>339</v>
      </c>
      <c r="B129" s="3" t="s">
        <v>340</v>
      </c>
      <c r="C129" s="0" t="s">
        <v>231</v>
      </c>
      <c r="D129" s="3" t="s">
        <v>179</v>
      </c>
      <c r="E129" s="3" t="s">
        <v>180</v>
      </c>
      <c r="F129" s="0" t="n">
        <v>300</v>
      </c>
      <c r="G129" s="0" t="n">
        <v>8</v>
      </c>
      <c r="H129" s="0" t="n">
        <f aca="false">IF(F129=0,"기본 지급",ROUND(F129/$B$1,1))</f>
        <v>1.6</v>
      </c>
      <c r="J129" s="0" t="s">
        <v>232</v>
      </c>
    </row>
    <row r="130" customFormat="false" ht="17.15" hidden="false" customHeight="false" outlineLevel="0" collapsed="false">
      <c r="A130" s="0" t="s">
        <v>341</v>
      </c>
      <c r="B130" s="3" t="s">
        <v>342</v>
      </c>
      <c r="C130" s="0" t="s">
        <v>231</v>
      </c>
      <c r="D130" s="3" t="s">
        <v>206</v>
      </c>
      <c r="E130" s="3" t="s">
        <v>180</v>
      </c>
      <c r="F130" s="0" t="n">
        <v>0</v>
      </c>
      <c r="G130" s="0" t="n">
        <v>8</v>
      </c>
      <c r="H130" s="0" t="str">
        <f aca="false">IF(F130=0,"기본 지급",ROUND(F130/$B$1,1))</f>
        <v>기본 지급</v>
      </c>
      <c r="I130" s="0" t="s">
        <v>330</v>
      </c>
      <c r="J130" s="0" t="s">
        <v>232</v>
      </c>
    </row>
    <row r="131" customFormat="false" ht="17.15" hidden="false" customHeight="false" outlineLevel="0" collapsed="false">
      <c r="A131" s="0" t="s">
        <v>343</v>
      </c>
      <c r="B131" s="3" t="s">
        <v>344</v>
      </c>
      <c r="C131" s="0" t="s">
        <v>231</v>
      </c>
      <c r="D131" s="3" t="s">
        <v>206</v>
      </c>
      <c r="E131" s="3" t="s">
        <v>180</v>
      </c>
      <c r="F131" s="0" t="n">
        <v>0</v>
      </c>
      <c r="G131" s="0" t="n">
        <v>8</v>
      </c>
      <c r="H131" s="0" t="str">
        <f aca="false">IF(F131=0,"기본 지급",ROUND(F131/$B$1,1))</f>
        <v>기본 지급</v>
      </c>
      <c r="I131" s="0" t="s">
        <v>330</v>
      </c>
      <c r="J131" s="0" t="s">
        <v>232</v>
      </c>
    </row>
    <row r="132" customFormat="false" ht="17.15" hidden="false" customHeight="false" outlineLevel="0" collapsed="false">
      <c r="A132" s="0" t="s">
        <v>345</v>
      </c>
      <c r="B132" s="3" t="s">
        <v>346</v>
      </c>
      <c r="C132" s="0" t="s">
        <v>231</v>
      </c>
      <c r="D132" s="3" t="s">
        <v>206</v>
      </c>
      <c r="E132" s="3" t="s">
        <v>180</v>
      </c>
      <c r="F132" s="0" t="n">
        <v>280</v>
      </c>
      <c r="G132" s="0" t="n">
        <v>8</v>
      </c>
      <c r="H132" s="0" t="n">
        <f aca="false">IF(F132=0,"기본 지급",ROUND(F132/$B$1,1))</f>
        <v>1.5</v>
      </c>
      <c r="J132" s="0" t="s">
        <v>232</v>
      </c>
    </row>
    <row r="133" customFormat="false" ht="17.15" hidden="false" customHeight="false" outlineLevel="0" collapsed="false">
      <c r="A133" s="0" t="s">
        <v>347</v>
      </c>
      <c r="B133" s="3" t="s">
        <v>348</v>
      </c>
      <c r="C133" s="0" t="s">
        <v>231</v>
      </c>
      <c r="D133" s="3" t="s">
        <v>206</v>
      </c>
      <c r="E133" s="3" t="s">
        <v>180</v>
      </c>
      <c r="F133" s="0" t="n">
        <v>260</v>
      </c>
      <c r="G133" s="0" t="n">
        <v>8</v>
      </c>
      <c r="H133" s="0" t="n">
        <f aca="false">IF(F133=0,"기본 지급",ROUND(F133/$B$1,1))</f>
        <v>1.4</v>
      </c>
      <c r="J133" s="0" t="s">
        <v>232</v>
      </c>
    </row>
    <row r="134" customFormat="false" ht="17.15" hidden="false" customHeight="false" outlineLevel="0" collapsed="false">
      <c r="A134" s="0" t="s">
        <v>349</v>
      </c>
      <c r="B134" s="3" t="s">
        <v>350</v>
      </c>
      <c r="C134" s="0" t="s">
        <v>231</v>
      </c>
      <c r="D134" s="3" t="s">
        <v>206</v>
      </c>
      <c r="E134" s="3" t="s">
        <v>180</v>
      </c>
      <c r="F134" s="0" t="n">
        <v>260</v>
      </c>
      <c r="G134" s="0" t="n">
        <v>8</v>
      </c>
      <c r="H134" s="0" t="n">
        <f aca="false">IF(F134=0,"기본 지급",ROUND(F134/$B$1,1))</f>
        <v>1.4</v>
      </c>
      <c r="J134" s="0" t="s">
        <v>232</v>
      </c>
    </row>
    <row r="135" customFormat="false" ht="17.15" hidden="false" customHeight="false" outlineLevel="0" collapsed="false">
      <c r="A135" s="0" t="s">
        <v>351</v>
      </c>
      <c r="B135" s="3" t="s">
        <v>352</v>
      </c>
      <c r="C135" s="0" t="s">
        <v>231</v>
      </c>
      <c r="D135" s="3" t="s">
        <v>206</v>
      </c>
      <c r="E135" s="3" t="s">
        <v>180</v>
      </c>
      <c r="F135" s="0" t="n">
        <v>320</v>
      </c>
      <c r="G135" s="0" t="n">
        <v>8</v>
      </c>
      <c r="H135" s="0" t="n">
        <f aca="false">IF(F135=0,"기본 지급",ROUND(F135/$B$1,1))</f>
        <v>1.8</v>
      </c>
      <c r="J135" s="0" t="s">
        <v>232</v>
      </c>
    </row>
    <row r="136" customFormat="false" ht="17.15" hidden="false" customHeight="false" outlineLevel="0" collapsed="false">
      <c r="A136" s="0" t="s">
        <v>353</v>
      </c>
      <c r="B136" s="3" t="s">
        <v>354</v>
      </c>
      <c r="C136" s="0" t="s">
        <v>266</v>
      </c>
      <c r="D136" s="3" t="s">
        <v>179</v>
      </c>
      <c r="E136" s="3" t="s">
        <v>180</v>
      </c>
      <c r="F136" s="0" t="n">
        <v>0</v>
      </c>
      <c r="G136" s="0" t="n">
        <v>8</v>
      </c>
      <c r="H136" s="0" t="str">
        <f aca="false">IF(F136=0,"기본 지급",ROUND(F136/$B$1,1))</f>
        <v>기본 지급</v>
      </c>
      <c r="I136" s="0" t="s">
        <v>330</v>
      </c>
      <c r="J136" s="0" t="s">
        <v>232</v>
      </c>
    </row>
    <row r="137" customFormat="false" ht="17.15" hidden="false" customHeight="false" outlineLevel="0" collapsed="false">
      <c r="A137" s="0" t="s">
        <v>355</v>
      </c>
      <c r="B137" s="3" t="s">
        <v>356</v>
      </c>
      <c r="C137" s="0" t="s">
        <v>266</v>
      </c>
      <c r="D137" s="3" t="s">
        <v>179</v>
      </c>
      <c r="E137" s="3" t="s">
        <v>180</v>
      </c>
      <c r="F137" s="0" t="n">
        <v>260</v>
      </c>
      <c r="G137" s="0" t="n">
        <v>8</v>
      </c>
      <c r="H137" s="0" t="n">
        <f aca="false">IF(F137=0,"기본 지급",ROUND(F137/$B$1,1))</f>
        <v>1.4</v>
      </c>
      <c r="J137" s="0" t="s">
        <v>232</v>
      </c>
    </row>
    <row r="138" customFormat="false" ht="17.15" hidden="false" customHeight="false" outlineLevel="0" collapsed="false">
      <c r="A138" s="0" t="s">
        <v>357</v>
      </c>
      <c r="B138" s="3" t="s">
        <v>358</v>
      </c>
      <c r="C138" s="0" t="s">
        <v>266</v>
      </c>
      <c r="D138" s="3" t="s">
        <v>179</v>
      </c>
      <c r="E138" s="3" t="s">
        <v>180</v>
      </c>
      <c r="F138" s="0" t="n">
        <v>280</v>
      </c>
      <c r="G138" s="0" t="n">
        <v>8</v>
      </c>
      <c r="H138" s="0" t="n">
        <f aca="false">IF(F138=0,"기본 지급",ROUND(F138/$B$1,1))</f>
        <v>1.5</v>
      </c>
      <c r="J138" s="0" t="s">
        <v>232</v>
      </c>
    </row>
    <row r="139" customFormat="false" ht="17.15" hidden="false" customHeight="false" outlineLevel="0" collapsed="false">
      <c r="A139" s="0" t="s">
        <v>359</v>
      </c>
      <c r="B139" s="3" t="s">
        <v>360</v>
      </c>
      <c r="C139" s="0" t="s">
        <v>266</v>
      </c>
      <c r="D139" s="3" t="s">
        <v>179</v>
      </c>
      <c r="E139" s="3" t="s">
        <v>180</v>
      </c>
      <c r="F139" s="0" t="n">
        <v>300</v>
      </c>
      <c r="G139" s="0" t="n">
        <v>8</v>
      </c>
      <c r="H139" s="0" t="n">
        <f aca="false">IF(F139=0,"기본 지급",ROUND(F139/$B$1,1))</f>
        <v>1.6</v>
      </c>
      <c r="J139" s="0" t="s">
        <v>232</v>
      </c>
    </row>
    <row r="140" customFormat="false" ht="17.15" hidden="false" customHeight="false" outlineLevel="0" collapsed="false">
      <c r="A140" s="0" t="s">
        <v>361</v>
      </c>
      <c r="B140" s="3" t="s">
        <v>362</v>
      </c>
      <c r="C140" s="0" t="s">
        <v>266</v>
      </c>
      <c r="D140" s="3" t="s">
        <v>179</v>
      </c>
      <c r="E140" s="3" t="s">
        <v>180</v>
      </c>
      <c r="F140" s="0" t="n">
        <v>320</v>
      </c>
      <c r="G140" s="0" t="n">
        <v>8</v>
      </c>
      <c r="H140" s="0" t="n">
        <f aca="false">IF(F140=0,"기본 지급",ROUND(F140/$B$1,1))</f>
        <v>1.8</v>
      </c>
      <c r="J140" s="0" t="s">
        <v>232</v>
      </c>
    </row>
    <row r="141" customFormat="false" ht="17.15" hidden="false" customHeight="false" outlineLevel="0" collapsed="false">
      <c r="A141" s="0" t="s">
        <v>363</v>
      </c>
      <c r="B141" s="3" t="s">
        <v>364</v>
      </c>
      <c r="C141" s="0" t="s">
        <v>266</v>
      </c>
      <c r="D141" s="3" t="s">
        <v>179</v>
      </c>
      <c r="E141" s="3" t="s">
        <v>180</v>
      </c>
      <c r="F141" s="0" t="n">
        <v>300</v>
      </c>
      <c r="G141" s="0" t="n">
        <v>8</v>
      </c>
      <c r="H141" s="0" t="n">
        <f aca="false">IF(F141=0,"기본 지급",ROUND(F141/$B$1,1))</f>
        <v>1.6</v>
      </c>
      <c r="J141" s="0" t="s">
        <v>232</v>
      </c>
    </row>
    <row r="142" customFormat="false" ht="17.15" hidden="false" customHeight="false" outlineLevel="0" collapsed="false">
      <c r="A142" s="0" t="s">
        <v>365</v>
      </c>
      <c r="B142" s="3" t="s">
        <v>366</v>
      </c>
      <c r="C142" s="0" t="s">
        <v>266</v>
      </c>
      <c r="D142" s="3" t="s">
        <v>206</v>
      </c>
      <c r="E142" s="3" t="s">
        <v>180</v>
      </c>
      <c r="F142" s="0" t="n">
        <v>0</v>
      </c>
      <c r="G142" s="0" t="n">
        <v>8</v>
      </c>
      <c r="H142" s="0" t="str">
        <f aca="false">IF(F142=0,"기본 지급",ROUND(F142/$B$1,1))</f>
        <v>기본 지급</v>
      </c>
      <c r="I142" s="0" t="s">
        <v>330</v>
      </c>
      <c r="J142" s="0" t="s">
        <v>232</v>
      </c>
    </row>
    <row r="143" customFormat="false" ht="17.15" hidden="false" customHeight="false" outlineLevel="0" collapsed="false">
      <c r="A143" s="0" t="s">
        <v>367</v>
      </c>
      <c r="B143" s="3" t="s">
        <v>321</v>
      </c>
      <c r="C143" s="0" t="s">
        <v>266</v>
      </c>
      <c r="D143" s="3" t="s">
        <v>206</v>
      </c>
      <c r="E143" s="3" t="s">
        <v>180</v>
      </c>
      <c r="F143" s="0" t="n">
        <v>280</v>
      </c>
      <c r="G143" s="0" t="n">
        <v>8</v>
      </c>
      <c r="H143" s="0" t="n">
        <f aca="false">IF(F143=0,"기본 지급",ROUND(F143/$B$1,1))</f>
        <v>1.5</v>
      </c>
      <c r="J143" s="0" t="s">
        <v>232</v>
      </c>
    </row>
    <row r="144" customFormat="false" ht="17.15" hidden="false" customHeight="false" outlineLevel="0" collapsed="false">
      <c r="A144" s="0" t="s">
        <v>368</v>
      </c>
      <c r="B144" s="3" t="s">
        <v>369</v>
      </c>
      <c r="C144" s="0" t="s">
        <v>266</v>
      </c>
      <c r="D144" s="3" t="s">
        <v>206</v>
      </c>
      <c r="E144" s="3" t="s">
        <v>180</v>
      </c>
      <c r="F144" s="0" t="n">
        <v>280</v>
      </c>
      <c r="G144" s="0" t="n">
        <v>8</v>
      </c>
      <c r="H144" s="0" t="n">
        <f aca="false">IF(F144=0,"기본 지급",ROUND(F144/$B$1,1))</f>
        <v>1.5</v>
      </c>
      <c r="J144" s="0" t="s">
        <v>232</v>
      </c>
    </row>
    <row r="145" customFormat="false" ht="17.15" hidden="false" customHeight="false" outlineLevel="0" collapsed="false">
      <c r="A145" s="0" t="s">
        <v>370</v>
      </c>
      <c r="B145" s="3" t="s">
        <v>371</v>
      </c>
      <c r="C145" s="0" t="s">
        <v>266</v>
      </c>
      <c r="D145" s="3" t="s">
        <v>206</v>
      </c>
      <c r="E145" s="3" t="s">
        <v>180</v>
      </c>
      <c r="F145" s="0" t="n">
        <v>260</v>
      </c>
      <c r="G145" s="0" t="n">
        <v>8</v>
      </c>
      <c r="H145" s="0" t="n">
        <f aca="false">IF(F145=0,"기본 지급",ROUND(F145/$B$1,1))</f>
        <v>1.4</v>
      </c>
      <c r="J145" s="0" t="s">
        <v>232</v>
      </c>
    </row>
    <row r="146" customFormat="false" ht="17.15" hidden="false" customHeight="false" outlineLevel="0" collapsed="false">
      <c r="A146" s="0" t="s">
        <v>372</v>
      </c>
      <c r="B146" s="3" t="s">
        <v>373</v>
      </c>
      <c r="C146" s="0" t="s">
        <v>266</v>
      </c>
      <c r="D146" s="3" t="s">
        <v>206</v>
      </c>
      <c r="E146" s="3" t="s">
        <v>180</v>
      </c>
      <c r="F146" s="0" t="n">
        <v>240</v>
      </c>
      <c r="G146" s="0" t="n">
        <v>8</v>
      </c>
      <c r="H146" s="0" t="n">
        <f aca="false">IF(F146=0,"기본 지급",ROUND(F146/$B$1,1))</f>
        <v>1.3</v>
      </c>
      <c r="J146" s="0" t="s">
        <v>232</v>
      </c>
    </row>
    <row r="147" customFormat="false" ht="17.15" hidden="false" customHeight="false" outlineLevel="0" collapsed="false">
      <c r="A147" s="0" t="s">
        <v>374</v>
      </c>
      <c r="B147" s="3" t="s">
        <v>375</v>
      </c>
      <c r="C147" s="0" t="s">
        <v>266</v>
      </c>
      <c r="D147" s="3" t="s">
        <v>206</v>
      </c>
      <c r="E147" s="3" t="s">
        <v>180</v>
      </c>
      <c r="F147" s="0" t="n">
        <v>260</v>
      </c>
      <c r="G147" s="0" t="n">
        <v>8</v>
      </c>
      <c r="H147" s="0" t="n">
        <f aca="false">IF(F147=0,"기본 지급",ROUND(F147/$B$1,1))</f>
        <v>1.4</v>
      </c>
      <c r="J147" s="0" t="s">
        <v>232</v>
      </c>
    </row>
    <row r="149" customFormat="false" ht="15" hidden="false" customHeight="false" outlineLevel="0" collapsed="false">
      <c r="A149" s="7" t="s">
        <v>62</v>
      </c>
      <c r="B149" s="7" t="s">
        <v>376</v>
      </c>
      <c r="C149" s="7" t="s">
        <v>64</v>
      </c>
      <c r="D149" s="7" t="s">
        <v>377</v>
      </c>
      <c r="E149" s="7" t="s">
        <v>378</v>
      </c>
    </row>
    <row r="150" customFormat="false" ht="15" hidden="false" customHeight="false" outlineLevel="0" collapsed="false">
      <c r="A150" s="3" t="s">
        <v>110</v>
      </c>
      <c r="B150" s="0" t="s">
        <v>379</v>
      </c>
      <c r="C150" s="0" t="n">
        <v>4</v>
      </c>
      <c r="D150" s="0" t="n">
        <f aca="false">COUNTIF($E$4:$E$147,A150)</f>
        <v>28</v>
      </c>
      <c r="E150" s="0" t="n">
        <f aca="false">IFERROR(AVERAGEIF($E$4:$E$147,A150,$F$4:$F$147),"-")</f>
        <v>119.642857142857</v>
      </c>
    </row>
    <row r="151" customFormat="false" ht="15" hidden="false" customHeight="false" outlineLevel="0" collapsed="false">
      <c r="A151" s="3" t="s">
        <v>77</v>
      </c>
      <c r="B151" s="0" t="s">
        <v>380</v>
      </c>
      <c r="C151" s="0" t="n">
        <v>10</v>
      </c>
      <c r="D151" s="0" t="n">
        <f aca="false">COUNTIF($E$4:$E$147,A151)</f>
        <v>21</v>
      </c>
      <c r="E151" s="0" t="n">
        <f aca="false">IFERROR(AVERAGEIF($E$4:$E$147,A151,$F$4:$F$147),"-")</f>
        <v>270.476190476191</v>
      </c>
    </row>
    <row r="152" customFormat="false" ht="17.15" hidden="false" customHeight="false" outlineLevel="0" collapsed="false">
      <c r="A152" s="3" t="s">
        <v>72</v>
      </c>
      <c r="B152" s="0" t="s">
        <v>381</v>
      </c>
      <c r="C152" s="0" t="n">
        <v>25</v>
      </c>
      <c r="D152" s="0" t="n">
        <f aca="false">COUNTIF($E$4:$E$147,A152)</f>
        <v>15</v>
      </c>
      <c r="E152" s="0" t="n">
        <f aca="false">IFERROR(AVERAGEIF($E$4:$E$147,A152,$F$4:$F$147),"-")</f>
        <v>628</v>
      </c>
    </row>
    <row r="153" customFormat="false" ht="15" hidden="false" customHeight="false" outlineLevel="0" collapsed="false">
      <c r="A153" s="3" t="s">
        <v>145</v>
      </c>
      <c r="B153" s="0" t="s">
        <v>382</v>
      </c>
      <c r="C153" s="0" t="n">
        <v>6</v>
      </c>
      <c r="D153" s="0" t="n">
        <f aca="false">COUNTIF($E$4:$E$147,A153)</f>
        <v>32</v>
      </c>
      <c r="E153" s="0" t="n">
        <f aca="false">IFERROR(AVERAGEIF($E$4:$E$147,A153,$F$4:$F$147),"-")</f>
        <v>163.125</v>
      </c>
    </row>
    <row r="154" customFormat="false" ht="17.15" hidden="false" customHeight="false" outlineLevel="0" collapsed="false">
      <c r="A154" s="3" t="s">
        <v>180</v>
      </c>
      <c r="B154" s="0" t="s">
        <v>380</v>
      </c>
      <c r="C154" s="0" t="n">
        <v>8</v>
      </c>
      <c r="D154" s="0" t="n">
        <f aca="false">COUNTIF($E$4:$E$147,A154)</f>
        <v>48</v>
      </c>
      <c r="E154" s="0" t="n">
        <f aca="false">IFERROR(AVERAGEIF($E$4:$E$147,A154,$F$4:$F$147),"-")</f>
        <v>241.25</v>
      </c>
    </row>
    <row r="155" customFormat="false" ht="15" hidden="false" customHeight="false" outlineLevel="0" collapsed="false">
      <c r="A155" s="3" t="s">
        <v>383</v>
      </c>
      <c r="B155" s="0" t="s">
        <v>384</v>
      </c>
      <c r="C155" s="0" t="n">
        <v>60</v>
      </c>
      <c r="D155" s="0" t="n">
        <f aca="false">COUNTIF($E$4:$E$147,A155)</f>
        <v>0</v>
      </c>
      <c r="E155" s="0" t="str">
        <f aca="false">IFERROR(AVERAGEIF($E$4:$E$147,A155,$F$4:$F$147),"-")</f>
        <v>-</v>
      </c>
    </row>
  </sheetData>
  <autoFilter ref="A3:J1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50"/>
  </cols>
  <sheetData>
    <row r="1" customFormat="false" ht="17.15" hidden="false" customHeight="false" outlineLevel="0" collapsed="false">
      <c r="A1" s="3" t="s">
        <v>57</v>
      </c>
      <c r="B1" s="0" t="n">
        <f aca="false">'포인트 경제'!B12</f>
        <v>182.857142857143</v>
      </c>
    </row>
    <row r="3" customFormat="false" ht="17.15" hidden="false" customHeight="false" outlineLevel="0" collapsed="false">
      <c r="A3" s="7" t="s">
        <v>60</v>
      </c>
      <c r="B3" s="7" t="s">
        <v>385</v>
      </c>
      <c r="C3" s="7" t="s">
        <v>386</v>
      </c>
      <c r="D3" s="7" t="s">
        <v>387</v>
      </c>
      <c r="E3" s="7" t="s">
        <v>388</v>
      </c>
      <c r="F3" s="7" t="s">
        <v>389</v>
      </c>
    </row>
    <row r="4" customFormat="false" ht="15" hidden="false" customHeight="false" outlineLevel="0" collapsed="false">
      <c r="A4" s="3" t="s">
        <v>390</v>
      </c>
      <c r="B4" s="0" t="n">
        <v>0</v>
      </c>
      <c r="C4" s="0" t="s">
        <v>391</v>
      </c>
      <c r="D4" s="0" t="str">
        <f aca="false">IFERROR(VLOOKUP(C4,$A$13:$B$22,2,FALSE()),"-")</f>
        <v>-</v>
      </c>
      <c r="E4" s="0" t="str">
        <f aca="false">IF(B4=0,"기본",ROUND(B4/$B$1,1))</f>
        <v>기본</v>
      </c>
      <c r="F4" s="0" t="s">
        <v>391</v>
      </c>
    </row>
    <row r="5" customFormat="false" ht="15" hidden="false" customHeight="false" outlineLevel="0" collapsed="false">
      <c r="A5" s="3" t="s">
        <v>10</v>
      </c>
      <c r="B5" s="0" t="n">
        <v>1500</v>
      </c>
      <c r="C5" s="0" t="n">
        <v>5</v>
      </c>
      <c r="D5" s="0" t="n">
        <f aca="false">IFERROR(VLOOKUP(C5,$A$13:$B$22,2,FALSE()),"-")</f>
        <v>200</v>
      </c>
      <c r="E5" s="0" t="n">
        <f aca="false">IF(B5=0,"기본",ROUND(B5/$B$1,1))</f>
        <v>8.2</v>
      </c>
      <c r="F5" s="0" t="s">
        <v>392</v>
      </c>
    </row>
    <row r="6" customFormat="false" ht="15" hidden="false" customHeight="false" outlineLevel="0" collapsed="false">
      <c r="A6" s="3" t="s">
        <v>393</v>
      </c>
      <c r="B6" s="0" t="n">
        <v>3000</v>
      </c>
      <c r="C6" s="0" t="n">
        <v>8</v>
      </c>
      <c r="D6" s="0" t="n">
        <f aca="false">IFERROR(VLOOKUP(C6,$A$13:$B$22,2,FALSE()),"-")</f>
        <v>280</v>
      </c>
      <c r="E6" s="0" t="n">
        <f aca="false">IF(B6=0,"기본",ROUND(B6/$B$1,1))</f>
        <v>16.4</v>
      </c>
      <c r="F6" s="0" t="s">
        <v>394</v>
      </c>
    </row>
    <row r="7" customFormat="false" ht="17.15" hidden="false" customHeight="false" outlineLevel="0" collapsed="false">
      <c r="A7" s="0" t="s">
        <v>395</v>
      </c>
      <c r="B7" s="0" t="n">
        <v>5000</v>
      </c>
      <c r="C7" s="0" t="n">
        <v>10</v>
      </c>
      <c r="D7" s="0" t="n">
        <f aca="false">IFERROR(VLOOKUP(C7,$A$13:$B$22,2,FALSE()),"-")</f>
        <v>400</v>
      </c>
      <c r="E7" s="0" t="n">
        <f aca="false">IF(B7=0,"기본",ROUND(B7/$B$1,1))</f>
        <v>27.3</v>
      </c>
      <c r="F7" s="0" t="s">
        <v>396</v>
      </c>
    </row>
    <row r="12" customFormat="false" ht="17.15" hidden="false" customHeight="false" outlineLevel="0" collapsed="false">
      <c r="A12" s="7" t="s">
        <v>397</v>
      </c>
      <c r="B12" s="7" t="s">
        <v>398</v>
      </c>
      <c r="C12" s="7" t="s">
        <v>399</v>
      </c>
    </row>
    <row r="13" customFormat="false" ht="15" hidden="false" customHeight="false" outlineLevel="0" collapsed="false">
      <c r="A13" s="0" t="n">
        <v>1</v>
      </c>
      <c r="B13" s="6" t="n">
        <v>0</v>
      </c>
    </row>
    <row r="14" customFormat="false" ht="15" hidden="false" customHeight="false" outlineLevel="0" collapsed="false">
      <c r="A14" s="0" t="n">
        <v>2</v>
      </c>
      <c r="B14" s="6" t="n">
        <v>100</v>
      </c>
    </row>
    <row r="15" customFormat="false" ht="15" hidden="false" customHeight="false" outlineLevel="0" collapsed="false">
      <c r="A15" s="0" t="n">
        <v>3</v>
      </c>
      <c r="B15" s="6" t="n">
        <v>130</v>
      </c>
    </row>
    <row r="16" customFormat="false" ht="15" hidden="false" customHeight="false" outlineLevel="0" collapsed="false">
      <c r="A16" s="0" t="n">
        <v>4</v>
      </c>
      <c r="B16" s="6" t="n">
        <v>165</v>
      </c>
    </row>
    <row r="17" customFormat="false" ht="17.15" hidden="false" customHeight="false" outlineLevel="0" collapsed="false">
      <c r="A17" s="0" t="n">
        <v>5</v>
      </c>
      <c r="B17" s="6" t="n">
        <v>200</v>
      </c>
      <c r="C17" s="3" t="s">
        <v>400</v>
      </c>
    </row>
    <row r="18" customFormat="false" ht="15" hidden="false" customHeight="false" outlineLevel="0" collapsed="false">
      <c r="A18" s="0" t="n">
        <v>6</v>
      </c>
      <c r="B18" s="6" t="n">
        <v>225</v>
      </c>
    </row>
    <row r="19" customFormat="false" ht="15" hidden="false" customHeight="false" outlineLevel="0" collapsed="false">
      <c r="A19" s="0" t="n">
        <v>7</v>
      </c>
      <c r="B19" s="6" t="n">
        <v>250</v>
      </c>
    </row>
    <row r="20" customFormat="false" ht="17.15" hidden="false" customHeight="false" outlineLevel="0" collapsed="false">
      <c r="A20" s="0" t="n">
        <v>8</v>
      </c>
      <c r="B20" s="6" t="n">
        <v>280</v>
      </c>
      <c r="C20" s="0" t="s">
        <v>401</v>
      </c>
    </row>
    <row r="21" customFormat="false" ht="15" hidden="false" customHeight="false" outlineLevel="0" collapsed="false">
      <c r="A21" s="0" t="n">
        <v>9</v>
      </c>
      <c r="B21" s="6" t="n">
        <v>330</v>
      </c>
    </row>
    <row r="22" customFormat="false" ht="15" hidden="false" customHeight="false" outlineLevel="0" collapsed="false">
      <c r="A22" s="0" t="n">
        <v>10</v>
      </c>
      <c r="B22" s="6" t="n">
        <v>400</v>
      </c>
    </row>
    <row r="24" customFormat="false" ht="17.15" hidden="false" customHeight="false" outlineLevel="0" collapsed="false">
      <c r="A24" s="3" t="s">
        <v>402</v>
      </c>
    </row>
    <row r="25" customFormat="false" ht="17.15" hidden="false" customHeight="false" outlineLevel="0" collapsed="false">
      <c r="A25" s="3" t="s">
        <v>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20.1" hidden="false" customHeight="false" outlineLevel="0" collapsed="false">
      <c r="A1" s="5" t="s">
        <v>404</v>
      </c>
    </row>
    <row r="3" customFormat="false" ht="17.15" hidden="false" customHeight="false" outlineLevel="0" collapsed="false">
      <c r="A3" s="7" t="s">
        <v>405</v>
      </c>
      <c r="B3" s="7" t="s">
        <v>406</v>
      </c>
      <c r="C3" s="7" t="s">
        <v>407</v>
      </c>
      <c r="D3" s="7" t="s">
        <v>408</v>
      </c>
      <c r="E3" s="7" t="s">
        <v>32</v>
      </c>
      <c r="F3" s="7" t="s">
        <v>409</v>
      </c>
    </row>
    <row r="4" customFormat="false" ht="15" hidden="false" customHeight="false" outlineLevel="0" collapsed="false">
      <c r="A4" s="3" t="s">
        <v>410</v>
      </c>
      <c r="B4" s="0" t="n">
        <v>107</v>
      </c>
      <c r="C4" s="6" t="n">
        <v>1</v>
      </c>
      <c r="D4" s="0" t="n">
        <f aca="false">B4*C4</f>
        <v>107</v>
      </c>
      <c r="E4" s="6" t="n">
        <v>20</v>
      </c>
      <c r="F4" s="0" t="n">
        <f aca="false">B4*E4</f>
        <v>2140</v>
      </c>
    </row>
    <row r="5" customFormat="false" ht="17.15" hidden="false" customHeight="false" outlineLevel="0" collapsed="false">
      <c r="A5" s="3" t="s">
        <v>411</v>
      </c>
      <c r="B5" s="0" t="n">
        <v>18</v>
      </c>
      <c r="C5" s="6" t="n">
        <v>10</v>
      </c>
      <c r="D5" s="0" t="n">
        <f aca="false">B5*C5</f>
        <v>180</v>
      </c>
      <c r="E5" s="6" t="n">
        <v>200</v>
      </c>
      <c r="F5" s="0" t="n">
        <f aca="false">B5*E5</f>
        <v>3600</v>
      </c>
    </row>
    <row r="6" customFormat="false" ht="15" hidden="false" customHeight="false" outlineLevel="0" collapsed="false">
      <c r="A6" s="3" t="s">
        <v>412</v>
      </c>
      <c r="B6" s="0" t="n">
        <v>1</v>
      </c>
      <c r="C6" s="6" t="n">
        <v>10</v>
      </c>
      <c r="D6" s="0" t="n">
        <f aca="false">B6*C6</f>
        <v>10</v>
      </c>
      <c r="E6" s="6" t="n">
        <v>300</v>
      </c>
      <c r="F6" s="0" t="n">
        <f aca="false">B6*E6</f>
        <v>300</v>
      </c>
    </row>
    <row r="7" customFormat="false" ht="15" hidden="false" customHeight="false" outlineLevel="0" collapsed="false">
      <c r="A7" s="3" t="s">
        <v>413</v>
      </c>
      <c r="B7" s="0" t="n">
        <v>1</v>
      </c>
      <c r="C7" s="6" t="n">
        <v>10</v>
      </c>
      <c r="D7" s="0" t="n">
        <f aca="false">B7*C7</f>
        <v>10</v>
      </c>
      <c r="E7" s="6" t="n">
        <v>300</v>
      </c>
      <c r="F7" s="0" t="n">
        <f aca="false">B7*E7</f>
        <v>300</v>
      </c>
    </row>
    <row r="8" customFormat="false" ht="15" hidden="false" customHeight="false" outlineLevel="0" collapsed="false">
      <c r="A8" s="3" t="s">
        <v>414</v>
      </c>
      <c r="B8" s="0" t="n">
        <v>1</v>
      </c>
      <c r="C8" s="6" t="n">
        <v>10</v>
      </c>
      <c r="D8" s="0" t="n">
        <f aca="false">B8*C8</f>
        <v>10</v>
      </c>
      <c r="E8" s="6" t="n">
        <v>300</v>
      </c>
      <c r="F8" s="0" t="n">
        <f aca="false">B8*E8</f>
        <v>300</v>
      </c>
    </row>
    <row r="9" customFormat="false" ht="15" hidden="false" customHeight="false" outlineLevel="0" collapsed="false">
      <c r="A9" s="3" t="s">
        <v>415</v>
      </c>
      <c r="B9" s="0" t="n">
        <v>1</v>
      </c>
      <c r="C9" s="6" t="n">
        <v>100</v>
      </c>
      <c r="D9" s="0" t="n">
        <f aca="false">B9*C9</f>
        <v>100</v>
      </c>
      <c r="E9" s="6" t="n">
        <v>3000</v>
      </c>
      <c r="F9" s="0" t="n">
        <f aca="false">B9*E9</f>
        <v>3000</v>
      </c>
    </row>
    <row r="10" customFormat="false" ht="15" hidden="false" customHeight="false" outlineLevel="0" collapsed="false">
      <c r="A10" s="2" t="s">
        <v>416</v>
      </c>
      <c r="D10" s="2" t="n">
        <f aca="false">SUM(D4:D9)</f>
        <v>417</v>
      </c>
      <c r="F10" s="0" t="n">
        <f aca="false">SUM(F4:F9)</f>
        <v>9640</v>
      </c>
    </row>
    <row r="11" customFormat="false" ht="17.15" hidden="false" customHeight="false" outlineLevel="0" collapsed="false">
      <c r="A11" s="3" t="s">
        <v>417</v>
      </c>
      <c r="D11" s="0" t="str">
        <f aca="false">IF(D10=417,"OK","확인 필요")</f>
        <v>OK</v>
      </c>
    </row>
    <row r="13" customFormat="false" ht="16.15" hidden="false" customHeight="false" outlineLevel="0" collapsed="false">
      <c r="A13" s="5" t="s">
        <v>418</v>
      </c>
    </row>
    <row r="14" customFormat="false" ht="17.15" hidden="false" customHeight="false" outlineLevel="0" collapsed="false">
      <c r="A14" s="3" t="s">
        <v>419</v>
      </c>
      <c r="B14" s="6"/>
      <c r="C14" s="3" t="s">
        <v>420</v>
      </c>
    </row>
    <row r="15" customFormat="false" ht="17.15" hidden="false" customHeight="false" outlineLevel="0" collapsed="false">
      <c r="A15" s="3" t="s">
        <v>421</v>
      </c>
      <c r="B15" s="6"/>
      <c r="C15" s="3" t="s">
        <v>420</v>
      </c>
    </row>
    <row r="16" customFormat="false" ht="17.15" hidden="false" customHeight="false" outlineLevel="0" collapsed="false">
      <c r="A16" s="3" t="s">
        <v>422</v>
      </c>
      <c r="B16" s="6" t="n">
        <v>30</v>
      </c>
    </row>
    <row r="17" customFormat="false" ht="17.15" hidden="false" customHeight="false" outlineLevel="0" collapsed="false">
      <c r="A17" s="0" t="s">
        <v>423</v>
      </c>
      <c r="B17" s="6" t="n">
        <v>11</v>
      </c>
    </row>
    <row r="18" customFormat="false" ht="17.15" hidden="false" customHeight="false" outlineLevel="0" collapsed="false">
      <c r="A18" s="0" t="s">
        <v>424</v>
      </c>
      <c r="B18" s="6" t="n">
        <v>1</v>
      </c>
    </row>
    <row r="19" customFormat="false" ht="17.15" hidden="false" customHeight="false" outlineLevel="0" collapsed="false">
      <c r="A19" s="3" t="s">
        <v>425</v>
      </c>
      <c r="B19" s="6" t="n">
        <v>83</v>
      </c>
    </row>
    <row r="21" customFormat="false" ht="17.15" hidden="false" customHeight="false" outlineLevel="0" collapsed="false">
      <c r="A21" s="3" t="s">
        <v>426</v>
      </c>
      <c r="B21" s="0" t="str">
        <f aca="false">IF(OR(B14="",B15=""),"eCPM 입력 필요",B16*(B17*B14+B18*B15)/1000)</f>
        <v>eCPM 입력 필요</v>
      </c>
    </row>
    <row r="22" customFormat="false" ht="17.15" hidden="false" customHeight="false" outlineLevel="0" collapsed="false">
      <c r="A22" s="0" t="s">
        <v>427</v>
      </c>
      <c r="B22" s="0" t="str">
        <f aca="false">IF(ISNUMBER(B21),B21-B19,"eCPM 입력 필요")</f>
        <v>eCPM 입력 필요</v>
      </c>
    </row>
    <row r="23" customFormat="false" ht="17.15" hidden="false" customHeight="false" outlineLevel="0" collapsed="false">
      <c r="A23" s="3" t="s">
        <v>428</v>
      </c>
      <c r="B23" s="0" t="n">
        <f aca="false">B19/(B16*(B17+B18)/1000)</f>
        <v>230.555555555556</v>
      </c>
    </row>
    <row r="24" customFormat="false" ht="17.15" hidden="false" customHeight="false" outlineLevel="0" collapsed="false">
      <c r="A24" s="3" t="s">
        <v>429</v>
      </c>
      <c r="B24" s="0" t="str">
        <f aca="false">IF(B15="","긴 광고 eCPM 입력 필요",(B19*1000/B16-B18*B15)/B17)</f>
        <v>긴 광고 eCPM 입력 필요</v>
      </c>
    </row>
    <row r="25" customFormat="false" ht="17.15" hidden="false" customHeight="false" outlineLevel="0" collapsed="false">
      <c r="A25" s="3" t="s">
        <v>430</v>
      </c>
      <c r="B25" s="0" t="str">
        <f aca="false">IF(B14="","eCPM 입력 필요",417*1000/B14)</f>
        <v>eCPM 입력 필요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8"/>
    <col collapsed="false" customWidth="true" hidden="false" outlineLevel="0" max="6" min="6" style="0" width="10"/>
  </cols>
  <sheetData>
    <row r="1" customFormat="false" ht="17.15" hidden="false" customHeight="false" outlineLevel="0" collapsed="false">
      <c r="A1" s="2" t="s">
        <v>431</v>
      </c>
    </row>
    <row r="3" customFormat="false" ht="15" hidden="false" customHeight="false" outlineLevel="0" collapsed="false">
      <c r="A3" s="7" t="s">
        <v>432</v>
      </c>
      <c r="B3" s="9" t="s">
        <v>58</v>
      </c>
      <c r="C3" s="7" t="s">
        <v>59</v>
      </c>
      <c r="D3" s="7" t="s">
        <v>62</v>
      </c>
      <c r="E3" s="7" t="s">
        <v>64</v>
      </c>
      <c r="F3" s="7" t="s">
        <v>433</v>
      </c>
    </row>
    <row r="4" customFormat="false" ht="17.15" hidden="false" customHeight="false" outlineLevel="0" collapsed="false">
      <c r="A4" s="3" t="s">
        <v>434</v>
      </c>
      <c r="B4" s="0" t="s">
        <v>75</v>
      </c>
      <c r="C4" s="3" t="s">
        <v>76</v>
      </c>
      <c r="D4" s="3" t="s">
        <v>77</v>
      </c>
      <c r="E4" s="0" t="n">
        <v>10</v>
      </c>
      <c r="F4" s="0" t="n">
        <v>300</v>
      </c>
    </row>
    <row r="5" customFormat="false" ht="15" hidden="false" customHeight="false" outlineLevel="0" collapsed="false">
      <c r="A5" s="3" t="s">
        <v>435</v>
      </c>
      <c r="B5" s="0" t="s">
        <v>79</v>
      </c>
      <c r="C5" s="3" t="s">
        <v>80</v>
      </c>
      <c r="D5" s="3" t="s">
        <v>77</v>
      </c>
      <c r="E5" s="0" t="n">
        <v>10</v>
      </c>
      <c r="F5" s="0" t="n">
        <v>220</v>
      </c>
    </row>
    <row r="6" customFormat="false" ht="15" hidden="false" customHeight="false" outlineLevel="0" collapsed="false">
      <c r="A6" s="3" t="s">
        <v>435</v>
      </c>
      <c r="B6" s="0" t="s">
        <v>107</v>
      </c>
      <c r="C6" s="3" t="s">
        <v>108</v>
      </c>
      <c r="D6" s="3" t="s">
        <v>110</v>
      </c>
      <c r="E6" s="0" t="n">
        <v>4</v>
      </c>
      <c r="F6" s="0" t="n">
        <v>90</v>
      </c>
    </row>
    <row r="7" customFormat="false" ht="15" hidden="false" customHeight="false" outlineLevel="0" collapsed="false">
      <c r="A7" s="3" t="s">
        <v>435</v>
      </c>
      <c r="B7" s="0" t="s">
        <v>122</v>
      </c>
      <c r="C7" s="3" t="s">
        <v>123</v>
      </c>
      <c r="D7" s="3" t="s">
        <v>110</v>
      </c>
      <c r="E7" s="0" t="n">
        <v>4</v>
      </c>
      <c r="F7" s="0" t="n">
        <v>150</v>
      </c>
    </row>
    <row r="8" customFormat="false" ht="15" hidden="false" customHeight="false" outlineLevel="0" collapsed="false">
      <c r="A8" s="3" t="s">
        <v>435</v>
      </c>
      <c r="B8" s="0" t="s">
        <v>143</v>
      </c>
      <c r="C8" s="3" t="s">
        <v>144</v>
      </c>
      <c r="D8" s="3" t="s">
        <v>145</v>
      </c>
      <c r="E8" s="0" t="n">
        <v>6</v>
      </c>
      <c r="F8" s="0" t="n">
        <v>200</v>
      </c>
    </row>
    <row r="9" customFormat="false" ht="15" hidden="false" customHeight="false" outlineLevel="0" collapsed="false">
      <c r="A9" s="3" t="s">
        <v>435</v>
      </c>
      <c r="B9" s="0" t="s">
        <v>151</v>
      </c>
      <c r="C9" s="3" t="s">
        <v>152</v>
      </c>
      <c r="D9" s="3" t="s">
        <v>145</v>
      </c>
      <c r="E9" s="0" t="n">
        <v>6</v>
      </c>
      <c r="F9" s="0" t="n">
        <v>100</v>
      </c>
    </row>
    <row r="10" customFormat="false" ht="17.15" hidden="false" customHeight="false" outlineLevel="0" collapsed="false">
      <c r="A10" s="3" t="s">
        <v>436</v>
      </c>
      <c r="B10" s="0" t="s">
        <v>177</v>
      </c>
      <c r="C10" s="3" t="s">
        <v>178</v>
      </c>
      <c r="D10" s="3" t="s">
        <v>180</v>
      </c>
      <c r="E10" s="0" t="n">
        <v>8</v>
      </c>
      <c r="F10" s="0" t="n">
        <v>0</v>
      </c>
    </row>
    <row r="11" customFormat="false" ht="17.15" hidden="false" customHeight="false" outlineLevel="0" collapsed="false">
      <c r="A11" s="3" t="s">
        <v>437</v>
      </c>
      <c r="B11" s="0" t="s">
        <v>204</v>
      </c>
      <c r="C11" s="3" t="s">
        <v>205</v>
      </c>
      <c r="D11" s="3" t="s">
        <v>180</v>
      </c>
      <c r="E11" s="0" t="n">
        <v>8</v>
      </c>
      <c r="F11" s="0" t="n">
        <v>0</v>
      </c>
    </row>
    <row r="12" customFormat="false" ht="17.15" hidden="false" customHeight="false" outlineLevel="0" collapsed="false">
      <c r="A12" s="3" t="s">
        <v>438</v>
      </c>
      <c r="B12" s="0" t="s">
        <v>184</v>
      </c>
      <c r="C12" s="3" t="s">
        <v>185</v>
      </c>
      <c r="D12" s="3" t="s">
        <v>180</v>
      </c>
      <c r="E12" s="0" t="n">
        <v>8</v>
      </c>
      <c r="F12" s="0" t="n">
        <v>240</v>
      </c>
    </row>
    <row r="13" customFormat="false" ht="17.15" hidden="false" customHeight="false" outlineLevel="0" collapsed="false">
      <c r="A13" s="3" t="s">
        <v>438</v>
      </c>
      <c r="B13" s="0" t="s">
        <v>211</v>
      </c>
      <c r="C13" s="3" t="s">
        <v>212</v>
      </c>
      <c r="D13" s="3" t="s">
        <v>180</v>
      </c>
      <c r="E13" s="0" t="n">
        <v>8</v>
      </c>
      <c r="F13" s="0" t="n">
        <v>240</v>
      </c>
    </row>
    <row r="14" customFormat="false" ht="15" hidden="false" customHeight="false" outlineLevel="0" collapsed="false">
      <c r="A14" s="3" t="s">
        <v>438</v>
      </c>
      <c r="B14" s="0" t="s">
        <v>120</v>
      </c>
      <c r="C14" s="3" t="s">
        <v>121</v>
      </c>
      <c r="D14" s="3" t="s">
        <v>110</v>
      </c>
      <c r="E14" s="0" t="n">
        <v>4</v>
      </c>
      <c r="F14" s="0" t="n">
        <v>100</v>
      </c>
    </row>
    <row r="15" customFormat="false" ht="15" hidden="false" customHeight="false" outlineLevel="0" collapsed="false">
      <c r="A15" s="3" t="s">
        <v>438</v>
      </c>
      <c r="B15" s="0" t="s">
        <v>117</v>
      </c>
      <c r="C15" s="3" t="s">
        <v>118</v>
      </c>
      <c r="D15" s="3" t="s">
        <v>110</v>
      </c>
      <c r="E15" s="0" t="n">
        <v>4</v>
      </c>
      <c r="F15" s="0" t="n">
        <v>90</v>
      </c>
    </row>
    <row r="16" customFormat="false" ht="17.15" hidden="false" customHeight="false" outlineLevel="0" collapsed="false">
      <c r="A16" s="3" t="s">
        <v>439</v>
      </c>
      <c r="B16" s="0" t="s">
        <v>133</v>
      </c>
      <c r="C16" s="3" t="s">
        <v>134</v>
      </c>
      <c r="D16" s="3" t="s">
        <v>110</v>
      </c>
      <c r="E16" s="0" t="n">
        <v>4</v>
      </c>
      <c r="F16" s="0" t="n">
        <v>80</v>
      </c>
    </row>
    <row r="17" customFormat="false" ht="17.15" hidden="false" customHeight="false" outlineLevel="0" collapsed="false">
      <c r="A17" s="3" t="s">
        <v>440</v>
      </c>
      <c r="B17" s="0" t="s">
        <v>175</v>
      </c>
      <c r="C17" s="3" t="s">
        <v>176</v>
      </c>
      <c r="D17" s="3" t="s">
        <v>145</v>
      </c>
      <c r="E17" s="0" t="n">
        <v>6</v>
      </c>
      <c r="F17" s="0" t="n">
        <v>100</v>
      </c>
    </row>
    <row r="18" customFormat="false" ht="17.15" hidden="false" customHeight="false" outlineLevel="0" collapsed="false">
      <c r="A18" s="3" t="s">
        <v>441</v>
      </c>
      <c r="B18" s="0" t="s">
        <v>139</v>
      </c>
      <c r="C18" s="3" t="s">
        <v>140</v>
      </c>
      <c r="D18" s="3" t="s">
        <v>110</v>
      </c>
      <c r="E18" s="0" t="n">
        <v>4</v>
      </c>
      <c r="F18" s="0" t="n">
        <v>110</v>
      </c>
    </row>
    <row r="19" customFormat="false" ht="17.15" hidden="false" customHeight="false" outlineLevel="0" collapsed="false">
      <c r="A19" s="3" t="s">
        <v>442</v>
      </c>
      <c r="B19" s="0" t="s">
        <v>159</v>
      </c>
      <c r="C19" s="3" t="s">
        <v>160</v>
      </c>
      <c r="D19" s="3" t="s">
        <v>145</v>
      </c>
      <c r="E19" s="0" t="n">
        <v>6</v>
      </c>
      <c r="F19" s="0" t="n">
        <v>130</v>
      </c>
    </row>
    <row r="20" customFormat="false" ht="17.15" hidden="false" customHeight="false" outlineLevel="0" collapsed="false">
      <c r="A20" s="3" t="s">
        <v>443</v>
      </c>
      <c r="B20" s="0" t="s">
        <v>131</v>
      </c>
      <c r="C20" s="3" t="s">
        <v>132</v>
      </c>
      <c r="D20" s="3" t="s">
        <v>110</v>
      </c>
      <c r="E20" s="0" t="n">
        <v>4</v>
      </c>
      <c r="F20" s="0" t="n">
        <v>120</v>
      </c>
    </row>
    <row r="21" customFormat="false" ht="17.15" hidden="false" customHeight="false" outlineLevel="0" collapsed="false">
      <c r="A21" s="3" t="s">
        <v>444</v>
      </c>
      <c r="B21" s="0" t="s">
        <v>113</v>
      </c>
      <c r="C21" s="3" t="s">
        <v>114</v>
      </c>
      <c r="D21" s="3" t="s">
        <v>110</v>
      </c>
      <c r="E21" s="0" t="n">
        <v>4</v>
      </c>
      <c r="F21" s="0" t="n">
        <v>120</v>
      </c>
    </row>
    <row r="22" customFormat="false" ht="17.15" hidden="false" customHeight="false" outlineLevel="0" collapsed="false">
      <c r="A22" s="3" t="s">
        <v>445</v>
      </c>
      <c r="B22" s="0" t="s">
        <v>68</v>
      </c>
      <c r="C22" s="3" t="s">
        <v>69</v>
      </c>
      <c r="D22" s="3" t="s">
        <v>72</v>
      </c>
      <c r="E22" s="0" t="n">
        <v>25</v>
      </c>
      <c r="F22" s="0" t="n">
        <v>600</v>
      </c>
    </row>
    <row r="23" customFormat="false" ht="15" hidden="false" customHeight="false" outlineLevel="0" collapsed="false">
      <c r="A23" s="2" t="s">
        <v>416</v>
      </c>
      <c r="E23" s="0" t="n">
        <f aca="false">SUM(E4:E22)</f>
        <v>133</v>
      </c>
      <c r="F23" s="0" t="n">
        <f aca="false">SUM(F4:F22)</f>
        <v>2990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5" min="5" style="0" width="40"/>
    <col collapsed="false" customWidth="true" hidden="false" outlineLevel="0" max="6" min="6" style="0" width="30"/>
  </cols>
  <sheetData>
    <row r="1" customFormat="false" ht="17.15" hidden="false" customHeight="false" outlineLevel="0" collapsed="false">
      <c r="A1" s="7" t="s">
        <v>446</v>
      </c>
      <c r="B1" s="7" t="s">
        <v>447</v>
      </c>
      <c r="C1" s="7" t="s">
        <v>448</v>
      </c>
      <c r="D1" s="7" t="s">
        <v>449</v>
      </c>
      <c r="E1" s="7" t="s">
        <v>450</v>
      </c>
      <c r="F1" s="7" t="s">
        <v>451</v>
      </c>
    </row>
    <row r="2" customFormat="false" ht="17.15" hidden="false" customHeight="false" outlineLevel="0" collapsed="false">
      <c r="A2" s="0" t="n">
        <v>1</v>
      </c>
      <c r="B2" s="0" t="s">
        <v>452</v>
      </c>
      <c r="C2" s="0" t="s">
        <v>453</v>
      </c>
      <c r="D2" s="3" t="s">
        <v>454</v>
      </c>
      <c r="E2" s="3" t="s">
        <v>455</v>
      </c>
      <c r="F2" s="0" t="s">
        <v>456</v>
      </c>
    </row>
    <row r="3" customFormat="false" ht="17.15" hidden="false" customHeight="false" outlineLevel="0" collapsed="false">
      <c r="A3" s="0" t="n">
        <v>2</v>
      </c>
      <c r="B3" s="0" t="s">
        <v>457</v>
      </c>
      <c r="C3" s="0" t="s">
        <v>458</v>
      </c>
      <c r="D3" s="3" t="s">
        <v>459</v>
      </c>
      <c r="E3" s="3" t="s">
        <v>460</v>
      </c>
      <c r="F3" s="0" t="s">
        <v>461</v>
      </c>
    </row>
    <row r="4" customFormat="false" ht="15" hidden="false" customHeight="false" outlineLevel="0" collapsed="false">
      <c r="A4" s="0" t="n">
        <v>3</v>
      </c>
      <c r="B4" s="0" t="s">
        <v>462</v>
      </c>
      <c r="C4" s="0" t="s">
        <v>463</v>
      </c>
      <c r="D4" s="3" t="s">
        <v>464</v>
      </c>
      <c r="E4" s="3" t="s">
        <v>465</v>
      </c>
      <c r="F4" s="0" t="s">
        <v>456</v>
      </c>
    </row>
    <row r="5" customFormat="false" ht="17.15" hidden="false" customHeight="false" outlineLevel="0" collapsed="false">
      <c r="A5" s="0" t="n">
        <v>4</v>
      </c>
      <c r="B5" s="0" t="s">
        <v>466</v>
      </c>
      <c r="C5" s="0" t="s">
        <v>467</v>
      </c>
      <c r="D5" s="3" t="s">
        <v>468</v>
      </c>
      <c r="E5" s="3" t="s">
        <v>469</v>
      </c>
      <c r="F5" s="0" t="s">
        <v>470</v>
      </c>
    </row>
    <row r="7" customFormat="false" ht="17.15" hidden="false" customHeight="false" outlineLevel="0" collapsed="false">
      <c r="A7" s="3" t="s">
        <v>471</v>
      </c>
    </row>
    <row r="9" customFormat="false" ht="15" hidden="false" customHeight="false" outlineLevel="0" collapsed="false">
      <c r="A9" s="7" t="s">
        <v>51</v>
      </c>
      <c r="B9" s="9" t="s">
        <v>58</v>
      </c>
      <c r="C9" s="7" t="s">
        <v>448</v>
      </c>
      <c r="D9" s="7" t="s">
        <v>472</v>
      </c>
    </row>
    <row r="10" customFormat="false" ht="17.15" hidden="false" customHeight="false" outlineLevel="0" collapsed="false">
      <c r="A10" s="0" t="n">
        <v>2</v>
      </c>
      <c r="B10" s="0" t="s">
        <v>473</v>
      </c>
      <c r="C10" s="0" t="s">
        <v>474</v>
      </c>
      <c r="D10" s="3" t="s">
        <v>475</v>
      </c>
    </row>
    <row r="11" customFormat="false" ht="17.15" hidden="false" customHeight="false" outlineLevel="0" collapsed="false">
      <c r="A11" s="0" t="n">
        <v>3</v>
      </c>
      <c r="B11" s="0" t="s">
        <v>476</v>
      </c>
      <c r="C11" s="0" t="s">
        <v>477</v>
      </c>
      <c r="D11" s="3" t="s">
        <v>478</v>
      </c>
    </row>
    <row r="12" customFormat="false" ht="17.15" hidden="false" customHeight="false" outlineLevel="0" collapsed="false">
      <c r="A12" s="0" t="n">
        <v>4</v>
      </c>
      <c r="B12" s="0" t="s">
        <v>479</v>
      </c>
      <c r="C12" s="0" t="s">
        <v>480</v>
      </c>
      <c r="D12" s="3" t="s">
        <v>481</v>
      </c>
    </row>
    <row r="13" customFormat="false" ht="15" hidden="false" customHeight="false" outlineLevel="0" collapsed="false">
      <c r="A13" s="0" t="n">
        <v>5</v>
      </c>
      <c r="B13" s="0" t="s">
        <v>482</v>
      </c>
      <c r="C13" s="0" t="s">
        <v>483</v>
      </c>
      <c r="D13" s="3" t="s">
        <v>484</v>
      </c>
    </row>
    <row r="14" customFormat="false" ht="15" hidden="false" customHeight="false" outlineLevel="0" collapsed="false">
      <c r="A14" s="0" t="n">
        <v>6</v>
      </c>
      <c r="B14" s="0" t="s">
        <v>485</v>
      </c>
      <c r="C14" s="0" t="s">
        <v>486</v>
      </c>
      <c r="D14" s="3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24"/>
  </cols>
  <sheetData>
    <row r="1" customFormat="false" ht="17.15" hidden="false" customHeight="false" outlineLevel="0" collapsed="false">
      <c r="A1" s="7" t="s">
        <v>488</v>
      </c>
      <c r="B1" s="7" t="s">
        <v>489</v>
      </c>
      <c r="C1" s="7" t="s">
        <v>490</v>
      </c>
      <c r="D1" s="7" t="s">
        <v>491</v>
      </c>
      <c r="E1" s="7" t="s">
        <v>492</v>
      </c>
    </row>
    <row r="2" customFormat="false" ht="17.15" hidden="false" customHeight="false" outlineLevel="0" collapsed="false">
      <c r="A2" s="0" t="s">
        <v>493</v>
      </c>
      <c r="B2" s="3" t="s">
        <v>494</v>
      </c>
      <c r="C2" s="0" t="s">
        <v>495</v>
      </c>
      <c r="D2" s="6"/>
      <c r="E2" s="3" t="s">
        <v>496</v>
      </c>
    </row>
    <row r="3" customFormat="false" ht="17.15" hidden="false" customHeight="false" outlineLevel="0" collapsed="false">
      <c r="A3" s="0" t="s">
        <v>497</v>
      </c>
      <c r="B3" s="0" t="s">
        <v>498</v>
      </c>
      <c r="C3" s="0" t="s">
        <v>499</v>
      </c>
      <c r="D3" s="6"/>
      <c r="E3" s="3" t="s">
        <v>496</v>
      </c>
    </row>
    <row r="4" customFormat="false" ht="17.15" hidden="false" customHeight="false" outlineLevel="0" collapsed="false">
      <c r="A4" s="3" t="s">
        <v>500</v>
      </c>
      <c r="B4" s="3" t="s">
        <v>501</v>
      </c>
      <c r="C4" s="3" t="s">
        <v>502</v>
      </c>
      <c r="D4" s="6"/>
      <c r="E4" s="3" t="s">
        <v>503</v>
      </c>
    </row>
    <row r="5" customFormat="false" ht="17.15" hidden="false" customHeight="false" outlineLevel="0" collapsed="false">
      <c r="A5" s="3" t="s">
        <v>504</v>
      </c>
      <c r="B5" s="0" t="s">
        <v>505</v>
      </c>
      <c r="C5" s="3" t="s">
        <v>506</v>
      </c>
      <c r="D5" s="6"/>
      <c r="E5" s="3" t="s">
        <v>496</v>
      </c>
    </row>
    <row r="6" customFormat="false" ht="17.15" hidden="false" customHeight="false" outlineLevel="0" collapsed="false">
      <c r="A6" s="3" t="s">
        <v>507</v>
      </c>
      <c r="B6" s="0" t="s">
        <v>508</v>
      </c>
      <c r="C6" s="3" t="s">
        <v>509</v>
      </c>
      <c r="D6" s="6"/>
      <c r="E6" s="3" t="s">
        <v>510</v>
      </c>
    </row>
    <row r="7" customFormat="false" ht="17.15" hidden="false" customHeight="false" outlineLevel="0" collapsed="false">
      <c r="A7" s="3" t="s">
        <v>511</v>
      </c>
      <c r="B7" s="3" t="s">
        <v>512</v>
      </c>
      <c r="C7" s="3" t="s">
        <v>513</v>
      </c>
      <c r="D7" s="6"/>
      <c r="E7" s="3" t="s">
        <v>514</v>
      </c>
    </row>
    <row r="8" customFormat="false" ht="17.15" hidden="false" customHeight="false" outlineLevel="0" collapsed="false">
      <c r="A8" s="3" t="s">
        <v>515</v>
      </c>
      <c r="B8" s="3" t="s">
        <v>516</v>
      </c>
      <c r="C8" s="3" t="s">
        <v>517</v>
      </c>
      <c r="D8" s="6"/>
      <c r="E8" s="3" t="s">
        <v>518</v>
      </c>
    </row>
    <row r="9" customFormat="false" ht="17.15" hidden="false" customHeight="false" outlineLevel="0" collapsed="false">
      <c r="A9" s="3" t="s">
        <v>519</v>
      </c>
      <c r="B9" s="3" t="s">
        <v>520</v>
      </c>
      <c r="C9" s="3" t="s">
        <v>521</v>
      </c>
      <c r="D9" s="6"/>
      <c r="E9" s="3" t="s">
        <v>522</v>
      </c>
    </row>
    <row r="10" customFormat="false" ht="17.15" hidden="false" customHeight="false" outlineLevel="0" collapsed="false">
      <c r="A10" s="3" t="s">
        <v>523</v>
      </c>
      <c r="B10" s="3" t="s">
        <v>524</v>
      </c>
      <c r="C10" s="3" t="s">
        <v>525</v>
      </c>
      <c r="D10" s="6"/>
      <c r="E10" s="3" t="s">
        <v>526</v>
      </c>
    </row>
    <row r="11" customFormat="false" ht="17.15" hidden="false" customHeight="false" outlineLevel="0" collapsed="false">
      <c r="A11" s="3" t="s">
        <v>527</v>
      </c>
      <c r="B11" s="0" t="s">
        <v>528</v>
      </c>
      <c r="C11" s="3" t="s">
        <v>529</v>
      </c>
      <c r="D11" s="6"/>
      <c r="E11" s="3" t="s">
        <v>530</v>
      </c>
    </row>
    <row r="13" customFormat="false" ht="15" hidden="false" customHeight="false" outlineLevel="0" collapsed="false">
      <c r="A13" s="2" t="s">
        <v>531</v>
      </c>
    </row>
    <row r="14" customFormat="false" ht="17.15" hidden="false" customHeight="false" outlineLevel="0" collapsed="false">
      <c r="A14" s="3" t="s">
        <v>532</v>
      </c>
    </row>
    <row r="15" customFormat="false" ht="17.15" hidden="false" customHeight="false" outlineLevel="0" collapsed="false">
      <c r="A15" s="3" t="s">
        <v>533</v>
      </c>
    </row>
    <row r="16" customFormat="false" ht="17.15" hidden="false" customHeight="false" outlineLevel="0" collapsed="false">
      <c r="A16" s="3" t="s">
        <v>534</v>
      </c>
    </row>
    <row r="17" customFormat="false" ht="17.15" hidden="false" customHeight="false" outlineLevel="0" collapsed="false">
      <c r="A17" s="3" t="s">
        <v>535</v>
      </c>
    </row>
    <row r="18" customFormat="false" ht="17.15" hidden="false" customHeight="false" outlineLevel="0" collapsed="false">
      <c r="A18" s="3" t="s">
        <v>536</v>
      </c>
    </row>
    <row r="19" customFormat="false" ht="17.15" hidden="false" customHeight="false" outlineLevel="0" collapsed="false">
      <c r="A19" s="3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2026-10-11T10:05:48Z</dcterms:created>
  <dc:creator>openpyxl</dc:creator>
  <dc:description/>
  <dc:language>en-US</dc:language>
  <cp:lastModifiedBy/>
  <dcterms:modified xsi:type="dcterms:W3CDTF">2026-10-11T11:33:37Z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